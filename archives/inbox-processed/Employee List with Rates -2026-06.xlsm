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snide\Downloads\"/>
    </mc:Choice>
  </mc:AlternateContent>
  <xr:revisionPtr revIDLastSave="0" documentId="13_ncr:1_{875984AA-801A-4CD9-8817-A78514689A33}" xr6:coauthVersionLast="47" xr6:coauthVersionMax="47" xr10:uidLastSave="{00000000-0000-0000-0000-000000000000}"/>
  <bookViews>
    <workbookView xWindow="5880" yWindow="1695" windowWidth="41670" windowHeight="17490" tabRatio="490" xr2:uid="{00000000-000D-0000-FFFF-FFFF00000000}"/>
  </bookViews>
  <sheets>
    <sheet name="Current" sheetId="1" r:id="rId1"/>
  </sheets>
  <definedNames>
    <definedName name="_xlnm._FilterDatabase" localSheetId="0" hidden="1">Current!$G$1:$G$44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1" l="1"/>
  <c r="M17" i="1"/>
  <c r="P17" i="1"/>
  <c r="K29" i="1"/>
  <c r="K9" i="1"/>
  <c r="M32" i="1" l="1"/>
  <c r="L32" i="1"/>
  <c r="N32" i="1"/>
  <c r="M8" i="1" l="1"/>
  <c r="M28" i="1"/>
  <c r="M30" i="1"/>
  <c r="M31" i="1"/>
  <c r="M33" i="1"/>
  <c r="M34" i="1"/>
  <c r="M27" i="1"/>
  <c r="M11" i="1"/>
  <c r="M12" i="1"/>
  <c r="M14" i="1"/>
  <c r="M15" i="1"/>
  <c r="M16" i="1"/>
  <c r="M18" i="1"/>
  <c r="M19" i="1"/>
  <c r="M20" i="1"/>
  <c r="M21" i="1"/>
  <c r="M22" i="1"/>
  <c r="M23" i="1"/>
  <c r="M24" i="1"/>
  <c r="M25" i="1"/>
  <c r="M26" i="1"/>
  <c r="M10" i="1"/>
  <c r="M7" i="1"/>
  <c r="M6" i="1"/>
  <c r="P9" i="1"/>
  <c r="P29" i="1"/>
  <c r="P8" i="1"/>
  <c r="N6" i="1"/>
  <c r="N11" i="1"/>
  <c r="N13" i="1"/>
  <c r="L11" i="1"/>
  <c r="P11" i="1"/>
  <c r="L13" i="1"/>
  <c r="P13" i="1"/>
  <c r="N18" i="1"/>
  <c r="N10" i="1"/>
  <c r="N7" i="1"/>
  <c r="N21" i="1"/>
  <c r="N33" i="1"/>
  <c r="L33" i="1"/>
  <c r="P33" i="1"/>
  <c r="L21" i="1"/>
  <c r="P21" i="1"/>
  <c r="L10" i="1"/>
  <c r="P10" i="1"/>
  <c r="L18" i="1"/>
  <c r="P18" i="1"/>
  <c r="L7" i="1"/>
  <c r="P7" i="1"/>
  <c r="N9" i="1"/>
  <c r="N12" i="1"/>
  <c r="N14" i="1"/>
  <c r="N15" i="1"/>
  <c r="N16" i="1"/>
  <c r="N19" i="1"/>
  <c r="N20" i="1"/>
  <c r="N22" i="1"/>
  <c r="N23" i="1"/>
  <c r="N24" i="1"/>
  <c r="N25" i="1"/>
  <c r="N26" i="1"/>
  <c r="N27" i="1"/>
  <c r="N28" i="1"/>
  <c r="N30" i="1"/>
  <c r="N29" i="1"/>
  <c r="N31" i="1"/>
  <c r="N34" i="1"/>
  <c r="L12" i="1"/>
  <c r="P12" i="1"/>
  <c r="L28" i="1"/>
  <c r="P28" i="1"/>
  <c r="L24" i="1"/>
  <c r="P24" i="1"/>
  <c r="L31" i="1"/>
  <c r="P31" i="1"/>
  <c r="L27" i="1"/>
  <c r="P27" i="1"/>
  <c r="L25" i="1"/>
  <c r="P25" i="1"/>
  <c r="L26" i="1"/>
  <c r="P26" i="1"/>
  <c r="L19" i="1"/>
  <c r="P19" i="1"/>
  <c r="L34" i="1"/>
  <c r="P34" i="1"/>
  <c r="L30" i="1"/>
  <c r="P30" i="1"/>
  <c r="L22" i="1"/>
  <c r="P22" i="1"/>
  <c r="L20" i="1"/>
  <c r="P20" i="1"/>
  <c r="L23" i="1"/>
  <c r="P23" i="1"/>
  <c r="L15" i="1"/>
  <c r="P15" i="1"/>
  <c r="L16" i="1"/>
  <c r="P16" i="1"/>
  <c r="L14" i="1"/>
  <c r="P14" i="1"/>
  <c r="P6" i="1"/>
  <c r="L6" i="1"/>
  <c r="L29" i="1" l="1"/>
  <c r="M29" i="1"/>
  <c r="L9" i="1"/>
  <c r="P37" i="1"/>
  <c r="M9" i="1"/>
  <c r="M3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Rick Snide</author>
    <author>tc={7AA8D038-45E2-411F-845A-2A2F66AAB1FC}</author>
    <author>tc={E410EF65-9157-4A15-AA1F-20E45C49ADD5}</author>
    <author>tc={CB5EBBDD-05B5-4DBB-8B78-D140765BEECD}</author>
    <author>tc={637F2750-D75B-40F6-B1BB-0B197FC6C05A}</author>
    <author>tc={C87B0A27-2C77-451D-A844-215C829431EC}</author>
    <author>tc={50440B65-CC3E-4B98-8617-57AA9C9C73A2}</author>
    <author>tc={961357A2-E670-451A-9817-06765009C172}</author>
    <author>tc={134549D3-E5FC-4EEB-BC18-F90A16EA4D82}</author>
    <author>tc={7A92DDCC-AC19-44C5-82D6-A33708867E2B}</author>
    <author>tc={9E2CAFCE-7F25-412B-86B3-E97E2A92638D}</author>
    <author>tc={B56048B2-5788-4DCC-995D-C24E1E0D1A50}</author>
    <author>tc={8097F888-006A-4479-A57C-A1BA7814E26D}</author>
    <author>tc={588761DF-9417-4A03-8DC2-ED38EE61B8CD}</author>
    <author>tc={C00F0B3C-C393-404C-B3F8-E20A8E8E1C37}</author>
    <author>tc={7701AD09-95C6-4CEE-A2DD-42B93F93B487}</author>
    <author>tc={42A64990-6BBE-4704-92AA-C7566679E129}</author>
    <author>tc={6311A34B-19F2-4275-A2E8-B9F60C23B07B}</author>
    <author>tc={9DD633B0-FEC4-4473-859D-1867F28816B9}</author>
  </authors>
  <commentList>
    <comment ref="A3" authorId="0" shapeId="0" xr:uid="{32CFB671-0C33-4AF6-A1AD-EA30DD44B9D3}">
      <text>
        <r>
          <rPr>
            <b/>
            <sz val="9"/>
            <color indexed="81"/>
            <rFont val="Tahoma"/>
            <family val="2"/>
          </rPr>
          <t>Rick Snide:</t>
        </r>
        <r>
          <rPr>
            <sz val="9"/>
            <color indexed="81"/>
            <rFont val="Tahoma"/>
            <family val="2"/>
          </rPr>
          <t xml:space="preserve">
Update this date when you make changes
</t>
        </r>
      </text>
    </comment>
    <comment ref="E6" authorId="1" shapeId="0" xr:uid="{7AA8D038-45E2-411F-845A-2A2F66AAB1FC}">
      <text>
        <t>[Threaded comment]
Your version of Excel allows you to read this threaded comment; however, any edits to it will get removed if the file is opened in a newer version of Excel. Learn more: https://go.microsoft.com/fwlink/?linkid=870924
Comment:
    Westerville 14%</t>
      </text>
    </comment>
    <comment ref="J9" authorId="2" shapeId="0" xr:uid="{E410EF65-9157-4A15-AA1F-20E45C49ADD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Increased 10% from prior reduction</t>
      </text>
    </comment>
    <comment ref="E10" authorId="3" shapeId="0" xr:uid="{CB5EBBDD-05B5-4DBB-8B78-D140765BEECD}">
      <text>
        <t>[Threaded comment]
Your version of Excel allows you to read this threaded comment; however, any edits to it will get removed if the file is opened in a newer version of Excel. Learn more: https://go.microsoft.com/fwlink/?linkid=870924
Comment:
    Cols EMP 86%  West 14%</t>
      </text>
    </comment>
    <comment ref="E12" authorId="4" shapeId="0" xr:uid="{637F2750-D75B-40F6-B1BB-0B197FC6C05A}">
      <text>
        <t>[Threaded comment]
Your version of Excel allows you to read this threaded comment; however, any edits to it will get removed if the file is opened in a newer version of Excel. Learn more: https://go.microsoft.com/fwlink/?linkid=870924
Comment:
    Cols EMP 20% West 80%</t>
      </text>
    </comment>
    <comment ref="E14" authorId="5" shapeId="0" xr:uid="{C87B0A27-2C77-451D-A844-215C829431EC}">
      <text>
        <t>[Threaded comment]
Your version of Excel allows you to read this threaded comment; however, any edits to it will get removed if the file is opened in a newer version of Excel. Learn more: https://go.microsoft.com/fwlink/?linkid=870924
Comment:
    Marysville 86% West 14%</t>
      </text>
    </comment>
    <comment ref="J15" authorId="6" shapeId="0" xr:uid="{50440B65-CC3E-4B98-8617-57AA9C9C73A2}">
      <text>
        <t>[Threaded comment]
Your version of Excel allows you to read this threaded comment; however, any edits to it will get removed if the file is opened in a newer version of Excel. Learn more: https://go.microsoft.com/fwlink/?linkid=870924
Comment:
    Moved to 4 days/week</t>
      </text>
    </comment>
    <comment ref="E16" authorId="7" shapeId="0" xr:uid="{961357A2-E670-451A-9817-06765009C172}">
      <text>
        <t>[Threaded comment]
Your version of Excel allows you to read this threaded comment; however, any edits to it will get removed if the file is opened in a newer version of Excel. Learn more: https://go.microsoft.com/fwlink/?linkid=870924
Comment:
    Amanda 86% West 14%</t>
      </text>
    </comment>
    <comment ref="E19" authorId="8" shapeId="0" xr:uid="{134549D3-E5FC-4EEB-BC18-F90A16EA4D82}">
      <text>
        <t>[Threaded comment]
Your version of Excel allows you to read this threaded comment; however, any edits to it will get removed if the file is opened in a newer version of Excel. Learn more: https://go.microsoft.com/fwlink/?linkid=870924
Comment:
    West 100%</t>
      </text>
    </comment>
    <comment ref="E20" authorId="9" shapeId="0" xr:uid="{7A92DDCC-AC19-44C5-82D6-A33708867E2B}">
      <text>
        <t>[Threaded comment]
Your version of Excel allows you to read this threaded comment; however, any edits to it will get removed if the file is opened in a newer version of Excel. Learn more: https://go.microsoft.com/fwlink/?linkid=870924
Comment:
    Cols 86% West 14%</t>
      </text>
    </comment>
    <comment ref="E21" authorId="10" shapeId="0" xr:uid="{9E2CAFCE-7F25-412B-86B3-E97E2A92638D}">
      <text>
        <t>[Threaded comment]
Your version of Excel allows you to read this threaded comment; however, any edits to it will get removed if the file is opened in a newer version of Excel. Learn more: https://go.microsoft.com/fwlink/?linkid=870924
Comment:
    14% Westerville</t>
      </text>
    </comment>
    <comment ref="E25" authorId="11" shapeId="0" xr:uid="{B56048B2-5788-4DCC-995D-C24E1E0D1A50}">
      <text>
        <t>[Threaded comment]
Your version of Excel allows you to read this threaded comment; however, any edits to it will get removed if the file is opened in a newer version of Excel. Learn more: https://go.microsoft.com/fwlink/?linkid=870924
Comment:
    West 14%</t>
      </text>
    </comment>
    <comment ref="J29" authorId="12" shapeId="0" xr:uid="{8097F888-006A-4479-A57C-A1BA7814E26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Increased 10% from prior reduction</t>
      </text>
    </comment>
    <comment ref="M29" authorId="13" shapeId="0" xr:uid="{588761DF-9417-4A03-8DC2-ED38EE61B8CD}">
      <text>
        <t>[Threaded comment]
Your version of Excel allows you to read this threaded comment; however, any edits to it will get removed if the file is opened in a newer version of Excel. Learn more: https://go.microsoft.com/fwlink/?linkid=870924
Comment:
    Scorp Health added to rate</t>
      </text>
    </comment>
    <comment ref="J30" authorId="14" shapeId="0" xr:uid="{C00F0B3C-C393-404C-B3F8-E20A8E8E1C3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Increased 10% from prior reduction</t>
      </text>
    </comment>
    <comment ref="E31" authorId="15" shapeId="0" xr:uid="{7701AD09-95C6-4CEE-A2DD-42B93F93B487}">
      <text>
        <t>[Threaded comment]
Your version of Excel allows you to read this threaded comment; however, any edits to it will get removed if the file is opened in a newer version of Excel. Learn more: https://go.microsoft.com/fwlink/?linkid=870924
Comment:
    Newark 100%</t>
      </text>
    </comment>
    <comment ref="E33" authorId="16" shapeId="0" xr:uid="{42A64990-6BBE-4704-92AA-C7566679E129}">
      <text>
        <t>[Threaded comment]
Your version of Excel allows you to read this threaded comment; however, any edits to it will get removed if the file is opened in a newer version of Excel. Learn more: https://go.microsoft.com/fwlink/?linkid=870924
Comment:
    Cols EMP 86% West 14%</t>
      </text>
    </comment>
    <comment ref="E34" authorId="17" shapeId="0" xr:uid="{6311A34B-19F2-4275-A2E8-B9F60C23B07B}">
      <text>
        <t>[Threaded comment]
Your version of Excel allows you to read this threaded comment; however, any edits to it will get removed if the file is opened in a newer version of Excel. Learn more: https://go.microsoft.com/fwlink/?linkid=870924
Comment:
    Cols Grove 86% West 14%</t>
      </text>
    </comment>
    <comment ref="J34" authorId="18" shapeId="0" xr:uid="{9DD633B0-FEC4-4473-859D-1867F28816B9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Increased 10% from prior reduction</t>
      </text>
    </comment>
  </commentList>
</comments>
</file>

<file path=xl/sharedStrings.xml><?xml version="1.0" encoding="utf-8"?>
<sst xmlns="http://schemas.openxmlformats.org/spreadsheetml/2006/main" count="205" uniqueCount="128">
  <si>
    <t>Revolution Group Inc.</t>
  </si>
  <si>
    <t>Employee information</t>
  </si>
  <si>
    <t>Updated as of 6/22/2026</t>
  </si>
  <si>
    <t>Last name</t>
  </si>
  <si>
    <t>First name</t>
  </si>
  <si>
    <t>Email</t>
  </si>
  <si>
    <t>State</t>
  </si>
  <si>
    <t>Tax city</t>
  </si>
  <si>
    <t>Practice</t>
  </si>
  <si>
    <t>Start date</t>
  </si>
  <si>
    <t>Date of birth</t>
  </si>
  <si>
    <t>Last increase date</t>
  </si>
  <si>
    <t>Rate</t>
  </si>
  <si>
    <t>Monthly Rate</t>
  </si>
  <si>
    <t>Annual Rate</t>
  </si>
  <si>
    <t>Semi-Mo Rate</t>
  </si>
  <si>
    <t>Position</t>
  </si>
  <si>
    <t>BRIDGES</t>
  </si>
  <si>
    <t>AARON L</t>
  </si>
  <si>
    <t>abridges@revolutiongroup.com</t>
  </si>
  <si>
    <t>OH</t>
  </si>
  <si>
    <t>Westerville</t>
  </si>
  <si>
    <t>TSDMSP</t>
  </si>
  <si>
    <t>MGR</t>
  </si>
  <si>
    <t>BUSH</t>
  </si>
  <si>
    <t>THOMAS</t>
  </si>
  <si>
    <t>tbush@revolutiongroup.com</t>
  </si>
  <si>
    <t>Operations L2</t>
  </si>
  <si>
    <t>CLAVIJO</t>
  </si>
  <si>
    <t>CARLOS</t>
  </si>
  <si>
    <t>cclavijo@revolutiongroup.com</t>
  </si>
  <si>
    <t>Admin</t>
  </si>
  <si>
    <t>POLLY</t>
  </si>
  <si>
    <t>pclavijo@revolutiongroup.com</t>
  </si>
  <si>
    <t>EVANS</t>
  </si>
  <si>
    <t>ANTHONY</t>
  </si>
  <si>
    <t>aevans@revolutiongroup.com</t>
  </si>
  <si>
    <t>Columbus</t>
  </si>
  <si>
    <t>Helpdesk Engineer</t>
  </si>
  <si>
    <t>FISHER</t>
  </si>
  <si>
    <t>CHRIS</t>
  </si>
  <si>
    <t>cfisher@revolutiongroup.com</t>
  </si>
  <si>
    <t>Worthinton</t>
  </si>
  <si>
    <t>TSDPROJ</t>
  </si>
  <si>
    <t>Project</t>
  </si>
  <si>
    <t>GALLAGHER</t>
  </si>
  <si>
    <t>RANDA</t>
  </si>
  <si>
    <t>rgallagher@revolutiongroup.com</t>
  </si>
  <si>
    <t>Purchasing</t>
  </si>
  <si>
    <t>GEREG</t>
  </si>
  <si>
    <t>NICHOLAS</t>
  </si>
  <si>
    <t>ngereg@revolutiongroup.com</t>
  </si>
  <si>
    <t>GOODE</t>
  </si>
  <si>
    <t>ISAAC</t>
  </si>
  <si>
    <t>igoode@revolutiongroup.com</t>
  </si>
  <si>
    <t>Marysville</t>
  </si>
  <si>
    <t>Team Lead</t>
  </si>
  <si>
    <t>GOTHARD</t>
  </si>
  <si>
    <t>AMY</t>
  </si>
  <si>
    <t>agothard@revolutiongroup.com</t>
  </si>
  <si>
    <t>Ashville</t>
  </si>
  <si>
    <t>HARTRANFT</t>
  </si>
  <si>
    <t>CODY</t>
  </si>
  <si>
    <t>chartranft@revolutiongroup.com</t>
  </si>
  <si>
    <t>Amanda</t>
  </si>
  <si>
    <t>HOPKINS</t>
  </si>
  <si>
    <t>TRISTAM</t>
  </si>
  <si>
    <t>thopkins@revolutiongroup.com</t>
  </si>
  <si>
    <t>KALETA</t>
  </si>
  <si>
    <t>NATHAN</t>
  </si>
  <si>
    <t>nkaleta@revolutiongroup.com</t>
  </si>
  <si>
    <t>Avon</t>
  </si>
  <si>
    <t>Operations</t>
  </si>
  <si>
    <t>KOVAL</t>
  </si>
  <si>
    <t>ERIK T</t>
  </si>
  <si>
    <t>ekoval@revolutiongroup.com</t>
  </si>
  <si>
    <t>LINHART</t>
  </si>
  <si>
    <t>JOSHUA</t>
  </si>
  <si>
    <t>jlinhart@revolutiongroup.com</t>
  </si>
  <si>
    <t>MARSH</t>
  </si>
  <si>
    <t>GABRIEL</t>
  </si>
  <si>
    <t>gmarsh@revolutiongroup.com</t>
  </si>
  <si>
    <t xml:space="preserve">Entry Level Helpdesk </t>
  </si>
  <si>
    <t>MAVIS</t>
  </si>
  <si>
    <t>RYAN P</t>
  </si>
  <si>
    <t>rmavis@revolutiongroup.com</t>
  </si>
  <si>
    <t>MCCULLUM</t>
  </si>
  <si>
    <t>VINCENT</t>
  </si>
  <si>
    <t>vmccullum@revolutiongroup.com</t>
  </si>
  <si>
    <t>MEADE</t>
  </si>
  <si>
    <t xml:space="preserve">JEREMY </t>
  </si>
  <si>
    <t>jmeade@revolutiongroup.com</t>
  </si>
  <si>
    <t>Operations L3</t>
  </si>
  <si>
    <t>PETERSON</t>
  </si>
  <si>
    <t>DALE J</t>
  </si>
  <si>
    <t>dpeterson@revolutiongroup.com</t>
  </si>
  <si>
    <t>RAJ</t>
  </si>
  <si>
    <t>ROY J</t>
  </si>
  <si>
    <t>rraj@revolutiongroup.com</t>
  </si>
  <si>
    <t>SEE</t>
  </si>
  <si>
    <t>ZACHARY</t>
  </si>
  <si>
    <t>zsee@revolutiongroup.com</t>
  </si>
  <si>
    <t>London</t>
  </si>
  <si>
    <t>SKON</t>
  </si>
  <si>
    <t>JOEL</t>
  </si>
  <si>
    <t>jskon@revolutiongroup.com</t>
  </si>
  <si>
    <t>AM</t>
  </si>
  <si>
    <t>SNIDE</t>
  </si>
  <si>
    <t>RICHARD A</t>
  </si>
  <si>
    <t>rsnide@revolutiongroup.com</t>
  </si>
  <si>
    <t>CYNTHIA A</t>
  </si>
  <si>
    <t>csnide@revolutiongroup.com</t>
  </si>
  <si>
    <t>M&amp;S</t>
  </si>
  <si>
    <t>STACKHOUSE</t>
  </si>
  <si>
    <t>zstackhouse@revolutiongroup.com</t>
  </si>
  <si>
    <t>Newark</t>
  </si>
  <si>
    <t>STEPHENS</t>
  </si>
  <si>
    <t>JIM</t>
  </si>
  <si>
    <t>jstephens@revolutiongroup.com</t>
  </si>
  <si>
    <t>HILLIARD</t>
  </si>
  <si>
    <t>WARSAMA</t>
  </si>
  <si>
    <t>ZAKARIYA</t>
  </si>
  <si>
    <t>zwarsama@revolutiongroup.com</t>
  </si>
  <si>
    <t>YOUNG</t>
  </si>
  <si>
    <t>ANASTASIA</t>
  </si>
  <si>
    <t>ayoung@revolutiongroup.com</t>
  </si>
  <si>
    <t>Columbus Grove</t>
  </si>
  <si>
    <t>Hourly Accountant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</si>
</sst>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000"/>
    <numFmt numFmtId="165" formatCode="yyyy\-mm\-dd;@"/>
  </numFmts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44" fontId="3" fillId="0" borderId="0" xfId="2" applyFont="1"/>
    <xf numFmtId="14" fontId="3" fillId="0" borderId="0" xfId="0" applyNumberFormat="1" applyFont="1"/>
    <xf numFmtId="0" fontId="4" fillId="0" borderId="0" xfId="0" applyFont="1" applyAlignment="1">
      <alignment vertical="center"/>
    </xf>
    <xf numFmtId="44" fontId="4" fillId="0" borderId="0" xfId="2" applyFont="1" applyAlignment="1">
      <alignment vertical="center"/>
    </xf>
    <xf numFmtId="0" fontId="5" fillId="0" borderId="0" xfId="0" applyFont="1" applyAlignment="1">
      <alignment vertical="top"/>
    </xf>
    <xf numFmtId="14" fontId="4" fillId="0" borderId="0" xfId="0" applyNumberFormat="1" applyFont="1" applyAlignment="1">
      <alignment vertical="center"/>
    </xf>
    <xf numFmtId="14" fontId="6" fillId="0" borderId="0" xfId="0" applyNumberFormat="1" applyFont="1" applyAlignment="1">
      <alignment horizontal="center" wrapText="1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right" wrapText="1"/>
    </xf>
    <xf numFmtId="0" fontId="2" fillId="0" borderId="0" xfId="0" applyFont="1" applyAlignment="1">
      <alignment vertical="top"/>
    </xf>
    <xf numFmtId="0" fontId="2" fillId="0" borderId="0" xfId="0" applyFont="1"/>
    <xf numFmtId="164" fontId="6" fillId="0" borderId="0" xfId="0" applyNumberFormat="1" applyFont="1" applyAlignment="1">
      <alignment horizontal="center"/>
    </xf>
    <xf numFmtId="44" fontId="6" fillId="0" borderId="0" xfId="2" applyFont="1" applyAlignment="1">
      <alignment horizontal="center"/>
    </xf>
    <xf numFmtId="14" fontId="2" fillId="0" borderId="0" xfId="0" applyNumberFormat="1" applyFont="1"/>
    <xf numFmtId="164" fontId="2" fillId="0" borderId="0" xfId="0" applyNumberFormat="1" applyFont="1" applyAlignment="1">
      <alignment vertical="top"/>
    </xf>
    <xf numFmtId="44" fontId="2" fillId="0" borderId="0" xfId="2" applyFont="1" applyAlignment="1">
      <alignment vertical="top"/>
    </xf>
    <xf numFmtId="2" fontId="2" fillId="0" borderId="0" xfId="0" applyNumberFormat="1" applyFont="1" applyAlignment="1">
      <alignment vertical="top"/>
    </xf>
    <xf numFmtId="43" fontId="2" fillId="0" borderId="0" xfId="1" applyFont="1" applyAlignment="1">
      <alignment vertical="top"/>
    </xf>
    <xf numFmtId="44" fontId="2" fillId="0" borderId="0" xfId="2" applyFont="1" applyAlignment="1">
      <alignment horizontal="left" vertical="top"/>
    </xf>
    <xf numFmtId="44" fontId="2" fillId="0" borderId="0" xfId="0" applyNumberFormat="1" applyFont="1"/>
    <xf numFmtId="14" fontId="2" fillId="0" borderId="0" xfId="0" applyNumberFormat="1" applyFont="1" applyAlignment="1">
      <alignment vertical="top"/>
    </xf>
    <xf numFmtId="43" fontId="2" fillId="0" borderId="0" xfId="1" applyFont="1" applyFill="1" applyAlignment="1">
      <alignment vertical="top"/>
    </xf>
    <xf numFmtId="44" fontId="2" fillId="0" borderId="0" xfId="2" applyFont="1"/>
    <xf numFmtId="164" fontId="2" fillId="2" borderId="0" xfId="0" applyNumberFormat="1" applyFont="1" applyFill="1" applyAlignment="1">
      <alignment vertical="top"/>
    </xf>
    <xf numFmtId="43" fontId="2" fillId="0" borderId="0" xfId="1" applyFont="1"/>
    <xf numFmtId="43" fontId="2" fillId="0" borderId="0" xfId="1" applyFont="1" applyFill="1"/>
    <xf numFmtId="44" fontId="2" fillId="2" borderId="0" xfId="2" applyFont="1" applyFill="1" applyAlignment="1">
      <alignment horizontal="left" vertical="top"/>
    </xf>
    <xf numFmtId="165" fontId="2" fillId="0" borderId="0" xfId="0" applyNumberFormat="1" applyFont="1" applyAlignment="1">
      <alignment vertical="top"/>
    </xf>
    <xf numFmtId="43" fontId="2" fillId="0" borderId="0" xfId="0" applyNumberFormat="1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9" fontId="2" fillId="0" borderId="0" xfId="0" applyNumberFormat="1" applyFont="1" applyAlignment="1">
      <alignment vertical="top"/>
    </xf>
    <xf numFmtId="0" fontId="2" fillId="0" borderId="0" xfId="0" applyFont="1" applyAlignment="1">
      <alignment horizontal="center" wrapText="1"/>
    </xf>
    <xf numFmtId="0" fontId="9" fillId="0" borderId="0" xfId="3" applyAlignment="1">
      <alignment vertical="top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y Gothard" id="{048C9951-1578-4ED7-A005-A588C3835E26}" userId="S::agothard@revolutiongroup.com::774da9e3-8e47-445e-8809-e539f71bb4d2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" dT="2025-01-19T16:17:02.00" personId="{048C9951-1578-4ED7-A005-A588C3835E26}" id="{7AA8D038-45E2-411F-845A-2A2F66AAB1FC}">
    <text>Westerville 14%</text>
  </threadedComment>
  <threadedComment ref="J9" dT="2026-03-26T15:15:19.19" personId="{048C9951-1578-4ED7-A005-A588C3835E26}" id="{E410EF65-9157-4A15-AA1F-20E45C49ADD5}">
    <text>Increased 10% from prior reduction</text>
  </threadedComment>
  <threadedComment ref="E10" dT="2025-01-19T16:18:08.99" personId="{048C9951-1578-4ED7-A005-A588C3835E26}" id="{CB5EBBDD-05B5-4DBB-8B78-D140765BEECD}">
    <text>Cols EMP 86%  West 14%</text>
  </threadedComment>
  <threadedComment ref="E12" dT="2025-01-19T16:20:10.38" personId="{048C9951-1578-4ED7-A005-A588C3835E26}" id="{637F2750-D75B-40F6-B1BB-0B197FC6C05A}">
    <text>Cols EMP 20% West 80%</text>
  </threadedComment>
  <threadedComment ref="E14" dT="2025-01-19T16:21:19.10" personId="{048C9951-1578-4ED7-A005-A588C3835E26}" id="{C87B0A27-2C77-451D-A844-215C829431EC}">
    <text>Marysville 86% West 14%</text>
  </threadedComment>
  <threadedComment ref="J15" dT="2026-03-26T15:10:18.55" personId="{048C9951-1578-4ED7-A005-A588C3835E26}" id="{50440B65-CC3E-4B98-8617-57AA9C9C73A2}">
    <text>Moved to 4 days/week</text>
  </threadedComment>
  <threadedComment ref="E16" dT="2025-01-19T16:25:59.13" personId="{048C9951-1578-4ED7-A005-A588C3835E26}" id="{961357A2-E670-451A-9817-06765009C172}">
    <text>Amanda 86% West 14%</text>
  </threadedComment>
  <threadedComment ref="E19" dT="2025-01-19T16:26:28.24" personId="{048C9951-1578-4ED7-A005-A588C3835E26}" id="{134549D3-E5FC-4EEB-BC18-F90A16EA4D82}">
    <text>West 100%</text>
  </threadedComment>
  <threadedComment ref="E20" dT="2025-01-19T16:29:05.24" personId="{048C9951-1578-4ED7-A005-A588C3835E26}" id="{7A92DDCC-AC19-44C5-82D6-A33708867E2B}">
    <text>Cols 86% West 14%</text>
  </threadedComment>
  <threadedComment ref="E21" dT="2025-01-19T16:29:53.56" personId="{048C9951-1578-4ED7-A005-A588C3835E26}" id="{9E2CAFCE-7F25-412B-86B3-E97E2A92638D}">
    <text>14% Westerville</text>
  </threadedComment>
  <threadedComment ref="E25" dT="2025-01-19T16:32:17.76" personId="{048C9951-1578-4ED7-A005-A588C3835E26}" id="{B56048B2-5788-4DCC-995D-C24E1E0D1A50}">
    <text>West 14%</text>
  </threadedComment>
  <threadedComment ref="J29" dT="2026-03-26T15:17:28.66" personId="{048C9951-1578-4ED7-A005-A588C3835E26}" id="{8097F888-006A-4479-A57C-A1BA7814E26D}">
    <text>Increased 10% from prior reduction</text>
  </threadedComment>
  <threadedComment ref="M29" dT="2025-04-07T22:01:49.60" personId="{048C9951-1578-4ED7-A005-A588C3835E26}" id="{588761DF-9417-4A03-8DC2-ED38EE61B8CD}">
    <text>Scorp Health added to rate</text>
  </threadedComment>
  <threadedComment ref="J30" dT="2026-03-26T15:17:41.89" personId="{048C9951-1578-4ED7-A005-A588C3835E26}" id="{C00F0B3C-C393-404C-B3F8-E20A8E8E1C37}">
    <text>Increased 10% from prior reduction</text>
  </threadedComment>
  <threadedComment ref="E31" dT="2025-01-19T18:20:32.41" personId="{048C9951-1578-4ED7-A005-A588C3835E26}" id="{7701AD09-95C6-4CEE-A2DD-42B93F93B487}">
    <text>Newark 100%</text>
  </threadedComment>
  <threadedComment ref="E33" dT="2025-01-19T16:42:16.06" personId="{048C9951-1578-4ED7-A005-A588C3835E26}" id="{42A64990-6BBE-4704-92AA-C7566679E129}">
    <text>Cols EMP 86% West 14%</text>
  </threadedComment>
  <threadedComment ref="E34" dT="2025-01-19T16:46:12.86" personId="{048C9951-1578-4ED7-A005-A588C3835E26}" id="{6311A34B-19F2-4275-A2E8-B9F60C23B07B}">
    <text>Cols Grove 86% West 14%</text>
  </threadedComment>
  <threadedComment ref="J34" dT="2026-03-26T15:26:56.40" personId="{048C9951-1578-4ED7-A005-A588C3835E26}" id="{9DD633B0-FEC4-4473-859D-1867F28816B9}">
    <text>Increased 10% from prior reduction</text>
  </threadedComment>
</ThreadedComments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nkaleta@revolutiongroup.com" TargetMode="External"/><Relationship Id="rId18" Type="http://schemas.openxmlformats.org/officeDocument/2006/relationships/hyperlink" Target="mailto:vmccullum@revolutiongroup.com" TargetMode="External"/><Relationship Id="rId26" Type="http://schemas.openxmlformats.org/officeDocument/2006/relationships/hyperlink" Target="mailto:zstackhouse@revolutiongroup.com" TargetMode="External"/><Relationship Id="rId3" Type="http://schemas.openxmlformats.org/officeDocument/2006/relationships/hyperlink" Target="mailto:cclavijo@revolutiongroup.com" TargetMode="External"/><Relationship Id="rId21" Type="http://schemas.openxmlformats.org/officeDocument/2006/relationships/hyperlink" Target="mailto:rraj@revolutiongroup.com" TargetMode="External"/><Relationship Id="rId7" Type="http://schemas.openxmlformats.org/officeDocument/2006/relationships/hyperlink" Target="mailto:rgallagher@revolutiongroup.com" TargetMode="External"/><Relationship Id="rId12" Type="http://schemas.openxmlformats.org/officeDocument/2006/relationships/hyperlink" Target="mailto:thopkins@revolutiongroup.com" TargetMode="External"/><Relationship Id="rId17" Type="http://schemas.openxmlformats.org/officeDocument/2006/relationships/hyperlink" Target="mailto:rmavis@revolutiongroup.com" TargetMode="External"/><Relationship Id="rId25" Type="http://schemas.openxmlformats.org/officeDocument/2006/relationships/hyperlink" Target="mailto:csnide@revolutiongroup.com" TargetMode="External"/><Relationship Id="rId33" Type="http://schemas.microsoft.com/office/2017/10/relationships/threadedComment" Target="../threadedComments/threadedComment1.xml"/><Relationship Id="rId2" Type="http://schemas.openxmlformats.org/officeDocument/2006/relationships/hyperlink" Target="mailto:tbush@revolutiongroup.com" TargetMode="External"/><Relationship Id="rId16" Type="http://schemas.openxmlformats.org/officeDocument/2006/relationships/hyperlink" Target="mailto:gmarsh@revolutiongroup.com" TargetMode="External"/><Relationship Id="rId20" Type="http://schemas.openxmlformats.org/officeDocument/2006/relationships/hyperlink" Target="mailto:dpeterson@revolutiongroup.com" TargetMode="External"/><Relationship Id="rId29" Type="http://schemas.openxmlformats.org/officeDocument/2006/relationships/hyperlink" Target="mailto:ayoung@revolutiongroup.com" TargetMode="External"/><Relationship Id="rId1" Type="http://schemas.openxmlformats.org/officeDocument/2006/relationships/hyperlink" Target="mailto:abridges@revolutiongroup.com" TargetMode="External"/><Relationship Id="rId6" Type="http://schemas.openxmlformats.org/officeDocument/2006/relationships/hyperlink" Target="mailto:cfisher@revolutiongroup.com" TargetMode="External"/><Relationship Id="rId11" Type="http://schemas.openxmlformats.org/officeDocument/2006/relationships/hyperlink" Target="mailto:chartranft@revolutiongroup.com" TargetMode="External"/><Relationship Id="rId24" Type="http://schemas.openxmlformats.org/officeDocument/2006/relationships/hyperlink" Target="mailto:rsnide@revolutiongroup.com" TargetMode="External"/><Relationship Id="rId32" Type="http://schemas.openxmlformats.org/officeDocument/2006/relationships/comments" Target="../comments1.xml"/><Relationship Id="rId5" Type="http://schemas.openxmlformats.org/officeDocument/2006/relationships/hyperlink" Target="mailto:aevans@revolutiongroup.com" TargetMode="External"/><Relationship Id="rId15" Type="http://schemas.openxmlformats.org/officeDocument/2006/relationships/hyperlink" Target="mailto:jlinhart@revolutiongroup.com" TargetMode="External"/><Relationship Id="rId23" Type="http://schemas.openxmlformats.org/officeDocument/2006/relationships/hyperlink" Target="mailto:jskon@revolutiongroup.com" TargetMode="External"/><Relationship Id="rId28" Type="http://schemas.openxmlformats.org/officeDocument/2006/relationships/hyperlink" Target="mailto:zwarsama@revolutiongroup.com" TargetMode="External"/><Relationship Id="rId10" Type="http://schemas.openxmlformats.org/officeDocument/2006/relationships/hyperlink" Target="mailto:agothard@revolutiongroup.com" TargetMode="External"/><Relationship Id="rId19" Type="http://schemas.openxmlformats.org/officeDocument/2006/relationships/hyperlink" Target="mailto:jmeade@revolutiongroup.com" TargetMode="External"/><Relationship Id="rId31" Type="http://schemas.openxmlformats.org/officeDocument/2006/relationships/vmlDrawing" Target="../drawings/vmlDrawing1.vml"/><Relationship Id="rId4" Type="http://schemas.openxmlformats.org/officeDocument/2006/relationships/hyperlink" Target="mailto:pclavijo@revolutiongroup.com" TargetMode="External"/><Relationship Id="rId9" Type="http://schemas.openxmlformats.org/officeDocument/2006/relationships/hyperlink" Target="mailto:igoode@revolutiongroup.com" TargetMode="External"/><Relationship Id="rId14" Type="http://schemas.openxmlformats.org/officeDocument/2006/relationships/hyperlink" Target="mailto:ekoval@revolutiongroup.com" TargetMode="External"/><Relationship Id="rId22" Type="http://schemas.openxmlformats.org/officeDocument/2006/relationships/hyperlink" Target="mailto:zsee@revolutiongroup.com" TargetMode="External"/><Relationship Id="rId27" Type="http://schemas.openxmlformats.org/officeDocument/2006/relationships/hyperlink" Target="mailto:jstephens@revolutiongroup.com" TargetMode="External"/><Relationship Id="rId30" Type="http://schemas.openxmlformats.org/officeDocument/2006/relationships/printerSettings" Target="../printerSettings/printerSettings1.bin"/><Relationship Id="rId8" Type="http://schemas.openxmlformats.org/officeDocument/2006/relationships/hyperlink" Target="mailto:ngereg@revolutiongrou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4"/>
  <sheetViews>
    <sheetView tabSelected="1" zoomScale="115" zoomScaleNormal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V5" sqref="V5"/>
    </sheetView>
  </sheetViews>
  <sheetFormatPr defaultColWidth="8.7109375" defaultRowHeight="12.75" x14ac:dyDescent="0.2"/>
  <cols>
    <col min="1" max="1" width="27.5703125" style="1" customWidth="1"/>
    <col min="2" max="2" width="19.28515625" style="1" customWidth="1"/>
    <col min="3" max="3" width="25.85546875" style="1" bestFit="1" customWidth="1"/>
    <col min="4" max="4" width="11.140625" style="1" customWidth="1"/>
    <col min="5" max="5" width="14.28515625" style="1" customWidth="1"/>
    <col min="6" max="6" width="4.28515625" style="1" customWidth="1"/>
    <col min="7" max="7" width="27.5703125" style="1" customWidth="1"/>
    <col min="8" max="8" width="10.28515625" style="1" customWidth="1"/>
    <col min="9" max="9" width="12.85546875" style="3" customWidth="1"/>
    <col min="10" max="10" width="13.42578125" style="3" customWidth="1"/>
    <col min="11" max="11" width="11.5703125" style="3" customWidth="1"/>
    <col min="12" max="12" width="12.85546875" style="3" customWidth="1"/>
    <col min="13" max="13" width="14" style="1" customWidth="1"/>
    <col min="14" max="14" width="12.28515625" style="2" customWidth="1"/>
    <col min="15" max="15" width="1.7109375" style="1" customWidth="1"/>
    <col min="16" max="16" width="16" style="1" customWidth="1"/>
    <col min="17" max="17" width="19.5703125" style="1" customWidth="1"/>
    <col min="18" max="18" width="12" style="34" customWidth="1"/>
    <col min="19" max="19" width="12.140625" style="34" bestFit="1" customWidth="1"/>
    <col min="20" max="20" width="12" style="1" bestFit="1" customWidth="1"/>
    <col min="21" max="21" width="10" style="1" bestFit="1" customWidth="1"/>
    <col min="22" max="22" width="8.7109375" style="1"/>
    <col min="23" max="23" width="10.5703125" style="1" bestFit="1" customWidth="1"/>
    <col min="24" max="24" width="9.140625" style="1" bestFit="1" customWidth="1"/>
    <col min="25" max="16384" width="8.7109375" style="1"/>
  </cols>
  <sheetData>
    <row r="1" spans="1:24" x14ac:dyDescent="0.2">
      <c r="A1" s="16" t="s">
        <v>0</v>
      </c>
      <c r="B1" s="16"/>
      <c r="C1" s="16"/>
      <c r="D1" s="16"/>
      <c r="E1" s="16"/>
      <c r="F1" s="16"/>
      <c r="G1" s="16"/>
      <c r="H1" s="12"/>
      <c r="I1" s="15"/>
      <c r="J1" s="15"/>
      <c r="K1" s="15"/>
      <c r="L1" s="15"/>
      <c r="M1" s="12"/>
      <c r="N1" s="17"/>
      <c r="O1" s="11"/>
      <c r="P1" s="12"/>
      <c r="Q1" s="12"/>
      <c r="R1" s="31"/>
      <c r="S1" s="31"/>
      <c r="T1" s="12"/>
      <c r="U1" s="12"/>
      <c r="V1" s="12"/>
      <c r="W1" s="12"/>
      <c r="X1" s="12"/>
    </row>
    <row r="2" spans="1:24" x14ac:dyDescent="0.2">
      <c r="A2" s="16" t="s">
        <v>1</v>
      </c>
      <c r="B2" s="16"/>
      <c r="C2" s="16"/>
      <c r="D2" s="16"/>
      <c r="E2" s="16"/>
      <c r="F2" s="16"/>
      <c r="G2" s="16"/>
      <c r="H2" s="12"/>
      <c r="I2" s="15"/>
      <c r="J2" s="15"/>
      <c r="K2" s="15"/>
      <c r="L2" s="15"/>
      <c r="M2" s="12"/>
      <c r="N2" s="17"/>
      <c r="O2" s="11"/>
      <c r="P2" s="12"/>
      <c r="Q2" s="12"/>
      <c r="R2" s="31"/>
      <c r="S2" s="31"/>
      <c r="T2" s="12"/>
      <c r="U2" s="12"/>
      <c r="V2" s="12"/>
      <c r="W2" s="12"/>
      <c r="X2" s="12"/>
    </row>
    <row r="3" spans="1:24" x14ac:dyDescent="0.2">
      <c r="A3" s="25" t="s">
        <v>2</v>
      </c>
      <c r="B3" s="16"/>
      <c r="C3" s="16"/>
      <c r="D3" s="16"/>
      <c r="E3" s="16"/>
      <c r="F3" s="16"/>
      <c r="G3" s="16"/>
      <c r="H3" s="12"/>
      <c r="I3" s="15"/>
      <c r="J3" s="15"/>
      <c r="K3" s="15"/>
      <c r="L3" s="15"/>
      <c r="M3" s="12"/>
      <c r="N3" s="17"/>
      <c r="O3" s="11"/>
      <c r="P3" s="12"/>
      <c r="Q3" s="12"/>
      <c r="R3" s="31"/>
      <c r="S3" s="31"/>
      <c r="T3" s="12"/>
      <c r="U3" s="12"/>
      <c r="V3" s="12"/>
      <c r="W3" s="12"/>
      <c r="X3" s="12"/>
    </row>
    <row r="4" spans="1:24" x14ac:dyDescent="0.2">
      <c r="A4" s="29"/>
      <c r="B4" s="16"/>
      <c r="C4" s="16"/>
      <c r="D4" s="16"/>
      <c r="E4" s="16"/>
      <c r="F4" s="16"/>
      <c r="G4" s="16"/>
      <c r="H4" s="12"/>
      <c r="I4" s="15"/>
      <c r="J4" s="15"/>
      <c r="K4" s="15"/>
      <c r="L4" s="15"/>
      <c r="M4" s="12"/>
      <c r="N4" s="17"/>
      <c r="O4" s="11"/>
      <c r="P4" s="12"/>
      <c r="Q4" s="12"/>
      <c r="R4" s="31"/>
      <c r="S4" s="31"/>
      <c r="T4" s="12"/>
      <c r="U4" s="12"/>
      <c r="V4" s="12"/>
      <c r="W4" s="12"/>
      <c r="X4" s="12"/>
    </row>
    <row r="5" spans="1:24" ht="25.5" x14ac:dyDescent="0.2">
      <c r="A5" s="13" t="s">
        <v>3</v>
      </c>
      <c r="B5" s="13" t="s">
        <v>4</v>
      </c>
      <c r="C5" s="13" t="s">
        <v>5</v>
      </c>
      <c r="D5" s="13" t="s">
        <v>6</v>
      </c>
      <c r="E5" s="13" t="s">
        <v>7</v>
      </c>
      <c r="F5" s="13"/>
      <c r="G5" s="9" t="s">
        <v>8</v>
      </c>
      <c r="H5" s="8" t="s">
        <v>9</v>
      </c>
      <c r="I5" s="8" t="s">
        <v>10</v>
      </c>
      <c r="J5" s="8" t="s">
        <v>11</v>
      </c>
      <c r="K5" s="9" t="s">
        <v>12</v>
      </c>
      <c r="L5" s="9" t="s">
        <v>13</v>
      </c>
      <c r="M5" s="14" t="s">
        <v>14</v>
      </c>
      <c r="N5" s="12"/>
      <c r="O5" s="12"/>
      <c r="P5" s="12" t="s">
        <v>15</v>
      </c>
      <c r="Q5" s="12" t="s">
        <v>16</v>
      </c>
      <c r="R5" s="36"/>
      <c r="S5" s="36"/>
      <c r="T5" s="12"/>
      <c r="U5" s="12"/>
      <c r="V5" s="12"/>
      <c r="W5" s="15"/>
      <c r="X5" s="15"/>
    </row>
    <row r="6" spans="1:24" ht="12.75" customHeight="1" x14ac:dyDescent="0.25">
      <c r="A6" s="11" t="s">
        <v>17</v>
      </c>
      <c r="B6" s="11" t="s">
        <v>18</v>
      </c>
      <c r="C6" s="37" t="s">
        <v>19</v>
      </c>
      <c r="D6" s="11" t="s">
        <v>20</v>
      </c>
      <c r="E6" s="11" t="s">
        <v>21</v>
      </c>
      <c r="F6" s="35"/>
      <c r="G6" s="12" t="s">
        <v>22</v>
      </c>
      <c r="H6" s="15">
        <v>38169</v>
      </c>
      <c r="I6" s="15">
        <v>26716</v>
      </c>
      <c r="J6" s="10">
        <v>45170</v>
      </c>
      <c r="K6" s="18">
        <v>6091.32</v>
      </c>
      <c r="L6" s="19">
        <f>K6*2</f>
        <v>12182.64</v>
      </c>
      <c r="M6" s="20">
        <f>K6*24</f>
        <v>146191.67999999999</v>
      </c>
      <c r="N6" s="26">
        <f ca="1">(TODAY()-I6)/365</f>
        <v>53.37808219178082</v>
      </c>
      <c r="O6" s="12"/>
      <c r="P6" s="21">
        <f>K6</f>
        <v>6091.32</v>
      </c>
      <c r="Q6" s="12" t="s">
        <v>23</v>
      </c>
      <c r="R6" s="32"/>
      <c r="S6" s="33"/>
      <c r="T6" s="21"/>
      <c r="U6" s="21"/>
      <c r="V6" s="12"/>
      <c r="W6" s="12"/>
      <c r="X6" s="12"/>
    </row>
    <row r="7" spans="1:24" ht="14.25" customHeight="1" x14ac:dyDescent="0.2">
      <c r="A7" s="11" t="s">
        <v>24</v>
      </c>
      <c r="B7" s="11" t="s">
        <v>25</v>
      </c>
      <c r="C7" s="37" t="s">
        <v>26</v>
      </c>
      <c r="D7" s="11" t="s">
        <v>20</v>
      </c>
      <c r="E7" s="11"/>
      <c r="F7" s="11"/>
      <c r="G7" s="12" t="s">
        <v>22</v>
      </c>
      <c r="H7" s="15">
        <v>44659</v>
      </c>
      <c r="I7" s="15">
        <v>34836</v>
      </c>
      <c r="J7" s="10">
        <v>46054</v>
      </c>
      <c r="K7" s="18">
        <v>3750</v>
      </c>
      <c r="L7" s="23">
        <f>K7*2</f>
        <v>7500</v>
      </c>
      <c r="M7" s="20">
        <f t="shared" ref="M7:M34" si="0">K7*24</f>
        <v>90000</v>
      </c>
      <c r="N7" s="27">
        <f ca="1">(TODAY()-I7)/365</f>
        <v>31.13150684931507</v>
      </c>
      <c r="O7" s="12"/>
      <c r="P7" s="21">
        <f>K7</f>
        <v>3750</v>
      </c>
      <c r="Q7" s="12" t="s">
        <v>27</v>
      </c>
      <c r="R7" s="31"/>
      <c r="S7" s="33"/>
      <c r="T7" s="21"/>
      <c r="U7" s="21"/>
      <c r="V7" s="12"/>
      <c r="W7" s="12"/>
      <c r="X7" s="26"/>
    </row>
    <row r="8" spans="1:24" x14ac:dyDescent="0.2">
      <c r="A8" s="11" t="s">
        <v>28</v>
      </c>
      <c r="B8" s="11" t="s">
        <v>29</v>
      </c>
      <c r="C8" s="37" t="s">
        <v>30</v>
      </c>
      <c r="D8" s="11" t="s">
        <v>20</v>
      </c>
      <c r="E8" s="11"/>
      <c r="F8" s="11"/>
      <c r="G8" s="12" t="s">
        <v>31</v>
      </c>
      <c r="H8" s="15">
        <v>41609</v>
      </c>
      <c r="I8" s="15">
        <v>21943</v>
      </c>
      <c r="J8" s="10">
        <v>42736</v>
      </c>
      <c r="K8" s="18">
        <v>80</v>
      </c>
      <c r="L8" s="23"/>
      <c r="M8" s="28">
        <f>K8*96</f>
        <v>7680</v>
      </c>
      <c r="N8" s="27"/>
      <c r="O8" s="12"/>
      <c r="P8" s="21">
        <f>K8*10</f>
        <v>800</v>
      </c>
      <c r="Q8" s="12" t="s">
        <v>127</v>
      </c>
      <c r="R8" s="31"/>
      <c r="S8" s="33"/>
      <c r="T8" s="12"/>
      <c r="U8" s="21"/>
      <c r="V8" s="12"/>
      <c r="W8" s="12"/>
      <c r="X8" s="27"/>
    </row>
    <row r="9" spans="1:24" ht="12.75" customHeight="1" x14ac:dyDescent="0.25">
      <c r="A9" s="11" t="s">
        <v>28</v>
      </c>
      <c r="B9" s="11" t="s">
        <v>32</v>
      </c>
      <c r="C9" s="37" t="s">
        <v>33</v>
      </c>
      <c r="D9" s="11" t="s">
        <v>20</v>
      </c>
      <c r="E9" s="11"/>
      <c r="F9" s="11"/>
      <c r="G9" s="12" t="s">
        <v>31</v>
      </c>
      <c r="H9" s="15">
        <v>34700</v>
      </c>
      <c r="I9" s="15">
        <v>22461</v>
      </c>
      <c r="J9" s="15">
        <v>46054</v>
      </c>
      <c r="K9" s="18">
        <f>3541.67+263.55</f>
        <v>3805.2200000000003</v>
      </c>
      <c r="L9" s="19">
        <f t="shared" ref="L9:L34" si="1">K9*2</f>
        <v>7610.4400000000005</v>
      </c>
      <c r="M9" s="20">
        <f t="shared" si="0"/>
        <v>91325.28</v>
      </c>
      <c r="N9" s="26">
        <f t="shared" ref="N9:N34" ca="1" si="2">(TODAY()-I9)/365</f>
        <v>65.035616438356158</v>
      </c>
      <c r="O9" s="12"/>
      <c r="P9" s="21">
        <f>K9</f>
        <v>3805.2200000000003</v>
      </c>
      <c r="Q9" s="12"/>
      <c r="R9" s="32"/>
      <c r="S9" s="33"/>
      <c r="T9" s="21"/>
      <c r="U9" s="21"/>
      <c r="V9" s="12"/>
      <c r="W9" s="26"/>
      <c r="X9" s="26"/>
    </row>
    <row r="10" spans="1:24" ht="12.75" customHeight="1" x14ac:dyDescent="0.2">
      <c r="A10" s="11" t="s">
        <v>34</v>
      </c>
      <c r="B10" s="11" t="s">
        <v>35</v>
      </c>
      <c r="C10" s="37" t="s">
        <v>36</v>
      </c>
      <c r="D10" s="11" t="s">
        <v>20</v>
      </c>
      <c r="E10" s="11" t="s">
        <v>37</v>
      </c>
      <c r="F10" s="11"/>
      <c r="G10" s="12" t="s">
        <v>22</v>
      </c>
      <c r="H10" s="15">
        <v>44753</v>
      </c>
      <c r="I10" s="15">
        <v>35489</v>
      </c>
      <c r="J10" s="10">
        <v>46054</v>
      </c>
      <c r="K10" s="18">
        <v>2092.17</v>
      </c>
      <c r="L10" s="19">
        <f t="shared" si="1"/>
        <v>4184.34</v>
      </c>
      <c r="M10" s="20">
        <f t="shared" si="0"/>
        <v>50212.08</v>
      </c>
      <c r="N10" s="26">
        <f t="shared" ca="1" si="2"/>
        <v>29.342465753424658</v>
      </c>
      <c r="O10" s="12"/>
      <c r="P10" s="21">
        <f t="shared" ref="P10:P34" si="3">K10</f>
        <v>2092.17</v>
      </c>
      <c r="Q10" s="12" t="s">
        <v>38</v>
      </c>
      <c r="R10" s="31"/>
      <c r="S10" s="33"/>
      <c r="T10" s="21"/>
      <c r="U10" s="21"/>
      <c r="V10" s="12"/>
      <c r="W10" s="12"/>
      <c r="X10" s="26"/>
    </row>
    <row r="11" spans="1:24" x14ac:dyDescent="0.2">
      <c r="A11" s="11" t="s">
        <v>39</v>
      </c>
      <c r="B11" s="11" t="s">
        <v>40</v>
      </c>
      <c r="C11" s="37" t="s">
        <v>41</v>
      </c>
      <c r="D11" s="11" t="s">
        <v>20</v>
      </c>
      <c r="E11" s="11" t="s">
        <v>42</v>
      </c>
      <c r="F11" s="11"/>
      <c r="G11" s="11" t="s">
        <v>43</v>
      </c>
      <c r="H11" s="15">
        <v>45033</v>
      </c>
      <c r="I11" s="15">
        <v>28882</v>
      </c>
      <c r="J11" s="10">
        <v>45536</v>
      </c>
      <c r="K11" s="18">
        <v>4618.91</v>
      </c>
      <c r="L11" s="23">
        <f t="shared" si="1"/>
        <v>9237.82</v>
      </c>
      <c r="M11" s="20">
        <f t="shared" si="0"/>
        <v>110853.84</v>
      </c>
      <c r="N11" s="27">
        <f t="shared" ca="1" si="2"/>
        <v>47.443835616438356</v>
      </c>
      <c r="O11" s="12"/>
      <c r="P11" s="21">
        <f t="shared" si="3"/>
        <v>4618.91</v>
      </c>
      <c r="Q11" s="12" t="s">
        <v>44</v>
      </c>
      <c r="R11" s="31"/>
      <c r="S11" s="33"/>
      <c r="T11" s="21"/>
      <c r="U11" s="21"/>
      <c r="V11" s="12"/>
      <c r="W11" s="12"/>
      <c r="X11" s="26"/>
    </row>
    <row r="12" spans="1:24" ht="12.75" customHeight="1" x14ac:dyDescent="0.2">
      <c r="A12" s="11" t="s">
        <v>45</v>
      </c>
      <c r="B12" s="11" t="s">
        <v>46</v>
      </c>
      <c r="C12" s="37" t="s">
        <v>47</v>
      </c>
      <c r="D12" s="11" t="s">
        <v>20</v>
      </c>
      <c r="E12" s="11" t="s">
        <v>21</v>
      </c>
      <c r="F12" s="11"/>
      <c r="G12" s="12" t="s">
        <v>22</v>
      </c>
      <c r="H12" s="15">
        <v>44578</v>
      </c>
      <c r="I12" s="15">
        <v>26754</v>
      </c>
      <c r="J12" s="10">
        <v>45536</v>
      </c>
      <c r="K12" s="18">
        <v>4077.84</v>
      </c>
      <c r="L12" s="23">
        <f t="shared" si="1"/>
        <v>8155.68</v>
      </c>
      <c r="M12" s="20">
        <f t="shared" si="0"/>
        <v>97868.160000000003</v>
      </c>
      <c r="N12" s="26">
        <f t="shared" ca="1" si="2"/>
        <v>53.273972602739725</v>
      </c>
      <c r="O12" s="12"/>
      <c r="P12" s="21">
        <f t="shared" si="3"/>
        <v>4077.84</v>
      </c>
      <c r="Q12" s="12" t="s">
        <v>48</v>
      </c>
      <c r="R12" s="31"/>
      <c r="S12" s="33"/>
      <c r="T12" s="21"/>
      <c r="U12" s="21"/>
      <c r="V12" s="12"/>
      <c r="W12" s="12"/>
      <c r="X12" s="26"/>
    </row>
    <row r="13" spans="1:24" ht="12.75" customHeight="1" x14ac:dyDescent="0.2">
      <c r="A13" s="11" t="s">
        <v>49</v>
      </c>
      <c r="B13" s="11" t="s">
        <v>50</v>
      </c>
      <c r="C13" s="37" t="s">
        <v>51</v>
      </c>
      <c r="D13" s="11" t="s">
        <v>20</v>
      </c>
      <c r="E13" s="11" t="s">
        <v>21</v>
      </c>
      <c r="F13" s="11"/>
      <c r="G13" s="12" t="s">
        <v>22</v>
      </c>
      <c r="H13" s="15">
        <v>44935</v>
      </c>
      <c r="I13" s="15">
        <v>36282</v>
      </c>
      <c r="J13" s="10">
        <v>46174</v>
      </c>
      <c r="K13" s="18">
        <v>2085.11</v>
      </c>
      <c r="L13" s="23">
        <f t="shared" si="1"/>
        <v>4170.22</v>
      </c>
      <c r="M13" s="20">
        <v>52000</v>
      </c>
      <c r="N13" s="26">
        <f t="shared" ca="1" si="2"/>
        <v>27.169863013698631</v>
      </c>
      <c r="O13" s="12"/>
      <c r="P13" s="21">
        <f t="shared" si="3"/>
        <v>2085.11</v>
      </c>
      <c r="Q13" s="12"/>
      <c r="R13" s="31"/>
      <c r="S13" s="33"/>
      <c r="T13" s="21"/>
      <c r="U13" s="21"/>
      <c r="V13" s="12"/>
      <c r="W13" s="12"/>
      <c r="X13" s="26"/>
    </row>
    <row r="14" spans="1:24" ht="12.75" customHeight="1" x14ac:dyDescent="0.2">
      <c r="A14" s="11" t="s">
        <v>52</v>
      </c>
      <c r="B14" s="11" t="s">
        <v>53</v>
      </c>
      <c r="C14" s="37" t="s">
        <v>54</v>
      </c>
      <c r="D14" s="11" t="s">
        <v>20</v>
      </c>
      <c r="E14" s="11" t="s">
        <v>55</v>
      </c>
      <c r="F14" s="11"/>
      <c r="G14" s="12" t="s">
        <v>22</v>
      </c>
      <c r="H14" s="15">
        <v>44151</v>
      </c>
      <c r="I14" s="15">
        <v>35670</v>
      </c>
      <c r="J14" s="10">
        <v>46054</v>
      </c>
      <c r="K14" s="18">
        <v>2625</v>
      </c>
      <c r="L14" s="19">
        <f t="shared" si="1"/>
        <v>5250</v>
      </c>
      <c r="M14" s="20">
        <f t="shared" si="0"/>
        <v>63000</v>
      </c>
      <c r="N14" s="26">
        <f t="shared" ca="1" si="2"/>
        <v>28.846575342465755</v>
      </c>
      <c r="O14" s="12"/>
      <c r="P14" s="21">
        <f t="shared" si="3"/>
        <v>2625</v>
      </c>
      <c r="Q14" s="12" t="s">
        <v>56</v>
      </c>
      <c r="R14" s="31"/>
      <c r="S14" s="33"/>
      <c r="T14" s="21"/>
      <c r="U14" s="21"/>
      <c r="V14" s="12"/>
      <c r="W14" s="12"/>
      <c r="X14" s="26"/>
    </row>
    <row r="15" spans="1:24" ht="12.6" customHeight="1" x14ac:dyDescent="0.2">
      <c r="A15" s="11" t="s">
        <v>57</v>
      </c>
      <c r="B15" s="11" t="s">
        <v>58</v>
      </c>
      <c r="C15" s="37" t="s">
        <v>59</v>
      </c>
      <c r="D15" s="11" t="s">
        <v>20</v>
      </c>
      <c r="E15" s="11" t="s">
        <v>60</v>
      </c>
      <c r="F15" s="11"/>
      <c r="G15" s="12" t="s">
        <v>31</v>
      </c>
      <c r="H15" s="15">
        <v>42439</v>
      </c>
      <c r="I15" s="15">
        <v>26686</v>
      </c>
      <c r="J15" s="10">
        <v>45763</v>
      </c>
      <c r="K15" s="18">
        <v>2800</v>
      </c>
      <c r="L15" s="19">
        <f t="shared" si="1"/>
        <v>5600</v>
      </c>
      <c r="M15" s="20">
        <f t="shared" si="0"/>
        <v>67200</v>
      </c>
      <c r="N15" s="26">
        <f t="shared" ca="1" si="2"/>
        <v>53.460273972602742</v>
      </c>
      <c r="O15" s="12"/>
      <c r="P15" s="21">
        <f t="shared" si="3"/>
        <v>2800</v>
      </c>
      <c r="Q15" s="12"/>
      <c r="R15" s="31"/>
      <c r="S15" s="33"/>
      <c r="T15" s="21"/>
      <c r="U15" s="21"/>
      <c r="V15" s="12"/>
      <c r="W15" s="12"/>
      <c r="X15" s="26"/>
    </row>
    <row r="16" spans="1:24" ht="13.15" customHeight="1" x14ac:dyDescent="0.2">
      <c r="A16" s="11" t="s">
        <v>61</v>
      </c>
      <c r="B16" s="11" t="s">
        <v>62</v>
      </c>
      <c r="C16" s="37" t="s">
        <v>63</v>
      </c>
      <c r="D16" s="11" t="s">
        <v>20</v>
      </c>
      <c r="E16" s="11" t="s">
        <v>64</v>
      </c>
      <c r="F16" s="11"/>
      <c r="G16" s="12" t="s">
        <v>22</v>
      </c>
      <c r="H16" s="15">
        <v>43486</v>
      </c>
      <c r="I16" s="15">
        <v>34043</v>
      </c>
      <c r="J16" s="10">
        <v>46054</v>
      </c>
      <c r="K16" s="18">
        <v>2833.33</v>
      </c>
      <c r="L16" s="19">
        <f t="shared" si="1"/>
        <v>5666.66</v>
      </c>
      <c r="M16" s="20">
        <f t="shared" si="0"/>
        <v>67999.92</v>
      </c>
      <c r="N16" s="26">
        <f t="shared" ca="1" si="2"/>
        <v>33.304109589041097</v>
      </c>
      <c r="O16" s="12"/>
      <c r="P16" s="21">
        <f t="shared" si="3"/>
        <v>2833.33</v>
      </c>
      <c r="Q16" s="12" t="s">
        <v>56</v>
      </c>
      <c r="R16" s="31"/>
      <c r="S16" s="33"/>
      <c r="T16" s="21"/>
      <c r="U16" s="21"/>
      <c r="V16" s="12"/>
      <c r="W16" s="12"/>
      <c r="X16" s="26"/>
    </row>
    <row r="17" spans="1:24" ht="12.6" customHeight="1" x14ac:dyDescent="0.2">
      <c r="A17" s="11" t="s">
        <v>65</v>
      </c>
      <c r="B17" s="11" t="s">
        <v>66</v>
      </c>
      <c r="C17" s="37" t="s">
        <v>67</v>
      </c>
      <c r="D17" s="11"/>
      <c r="E17" s="11"/>
      <c r="F17" s="11"/>
      <c r="G17" s="12" t="s">
        <v>22</v>
      </c>
      <c r="H17" s="15">
        <v>46125</v>
      </c>
      <c r="I17" s="15"/>
      <c r="J17" s="10"/>
      <c r="K17" s="18">
        <v>2166.67</v>
      </c>
      <c r="L17" s="19">
        <f t="shared" si="1"/>
        <v>4333.34</v>
      </c>
      <c r="M17" s="20">
        <f t="shared" si="0"/>
        <v>52000.08</v>
      </c>
      <c r="N17" s="26"/>
      <c r="O17" s="12"/>
      <c r="P17" s="21">
        <f t="shared" si="3"/>
        <v>2166.67</v>
      </c>
      <c r="Q17" s="12"/>
      <c r="R17" s="31"/>
      <c r="S17" s="33"/>
      <c r="T17" s="21"/>
      <c r="U17" s="21"/>
      <c r="V17" s="12"/>
      <c r="W17" s="12"/>
      <c r="X17" s="26"/>
    </row>
    <row r="18" spans="1:24" ht="12.75" customHeight="1" x14ac:dyDescent="0.25">
      <c r="A18" s="11" t="s">
        <v>68</v>
      </c>
      <c r="B18" s="11" t="s">
        <v>69</v>
      </c>
      <c r="C18" s="37" t="s">
        <v>70</v>
      </c>
      <c r="D18" s="11" t="s">
        <v>20</v>
      </c>
      <c r="E18" s="11" t="s">
        <v>71</v>
      </c>
      <c r="F18" s="11"/>
      <c r="G18" s="12" t="s">
        <v>22</v>
      </c>
      <c r="H18" s="15">
        <v>44788</v>
      </c>
      <c r="I18" s="15">
        <v>35249</v>
      </c>
      <c r="J18" s="10">
        <v>46054</v>
      </c>
      <c r="K18" s="18">
        <v>3750</v>
      </c>
      <c r="L18" s="23">
        <f>K18*2</f>
        <v>7500</v>
      </c>
      <c r="M18" s="20">
        <f>K18*24</f>
        <v>90000</v>
      </c>
      <c r="N18" s="27">
        <f ca="1">(TODAY()-I18)/365</f>
        <v>30</v>
      </c>
      <c r="O18" s="12"/>
      <c r="P18" s="21">
        <f>K18</f>
        <v>3750</v>
      </c>
      <c r="Q18" s="12" t="s">
        <v>72</v>
      </c>
      <c r="R18" s="32"/>
      <c r="S18" s="33"/>
      <c r="T18" s="21"/>
      <c r="U18" s="21"/>
      <c r="V18" s="12"/>
      <c r="W18" s="12"/>
      <c r="X18" s="26"/>
    </row>
    <row r="19" spans="1:24" ht="14.25" customHeight="1" x14ac:dyDescent="0.2">
      <c r="A19" s="11" t="s">
        <v>73</v>
      </c>
      <c r="B19" s="11" t="s">
        <v>74</v>
      </c>
      <c r="C19" s="37" t="s">
        <v>75</v>
      </c>
      <c r="D19" s="11" t="s">
        <v>20</v>
      </c>
      <c r="E19" s="11" t="s">
        <v>21</v>
      </c>
      <c r="F19" s="11"/>
      <c r="G19" s="12" t="s">
        <v>22</v>
      </c>
      <c r="H19" s="15">
        <v>41954</v>
      </c>
      <c r="I19" s="15">
        <v>23825</v>
      </c>
      <c r="J19" s="10">
        <v>45536</v>
      </c>
      <c r="K19" s="18">
        <v>5182.1899999999996</v>
      </c>
      <c r="L19" s="23">
        <f t="shared" si="1"/>
        <v>10364.379999999999</v>
      </c>
      <c r="M19" s="20">
        <f t="shared" si="0"/>
        <v>124372.56</v>
      </c>
      <c r="N19" s="26">
        <f t="shared" ca="1" si="2"/>
        <v>61.298630136986304</v>
      </c>
      <c r="O19" s="12"/>
      <c r="P19" s="21">
        <f t="shared" si="3"/>
        <v>5182.1899999999996</v>
      </c>
      <c r="Q19" s="12" t="s">
        <v>23</v>
      </c>
      <c r="R19" s="31"/>
      <c r="S19" s="33"/>
      <c r="T19" s="21"/>
      <c r="U19" s="21"/>
      <c r="V19" s="12"/>
      <c r="W19" s="12"/>
      <c r="X19" s="26"/>
    </row>
    <row r="20" spans="1:24" ht="14.25" customHeight="1" x14ac:dyDescent="0.2">
      <c r="A20" s="11" t="s">
        <v>76</v>
      </c>
      <c r="B20" s="11" t="s">
        <v>77</v>
      </c>
      <c r="C20" s="37" t="s">
        <v>78</v>
      </c>
      <c r="D20" s="11" t="s">
        <v>20</v>
      </c>
      <c r="E20" s="11" t="s">
        <v>37</v>
      </c>
      <c r="F20" s="11"/>
      <c r="G20" s="12" t="s">
        <v>22</v>
      </c>
      <c r="H20" s="15">
        <v>43724</v>
      </c>
      <c r="I20" s="15">
        <v>32197</v>
      </c>
      <c r="J20" s="10">
        <v>46054</v>
      </c>
      <c r="K20" s="18">
        <v>3083.33</v>
      </c>
      <c r="L20" s="23">
        <f t="shared" si="1"/>
        <v>6166.66</v>
      </c>
      <c r="M20" s="20">
        <f t="shared" si="0"/>
        <v>73999.92</v>
      </c>
      <c r="N20" s="27">
        <f t="shared" ca="1" si="2"/>
        <v>38.361643835616441</v>
      </c>
      <c r="O20" s="12"/>
      <c r="P20" s="21">
        <f t="shared" si="3"/>
        <v>3083.33</v>
      </c>
      <c r="Q20" s="12" t="s">
        <v>56</v>
      </c>
      <c r="R20" s="31"/>
      <c r="S20" s="33"/>
      <c r="T20" s="21"/>
      <c r="U20" s="21"/>
      <c r="V20" s="12"/>
      <c r="W20" s="12"/>
      <c r="X20" s="26"/>
    </row>
    <row r="21" spans="1:24" ht="12.75" customHeight="1" x14ac:dyDescent="0.2">
      <c r="A21" s="22" t="s">
        <v>79</v>
      </c>
      <c r="B21" s="11" t="s">
        <v>80</v>
      </c>
      <c r="C21" s="37" t="s">
        <v>81</v>
      </c>
      <c r="D21" s="11" t="s">
        <v>20</v>
      </c>
      <c r="E21" s="11" t="s">
        <v>21</v>
      </c>
      <c r="F21" s="11"/>
      <c r="G21" s="12" t="s">
        <v>22</v>
      </c>
      <c r="H21" s="15">
        <v>44636</v>
      </c>
      <c r="I21" s="15">
        <v>35226</v>
      </c>
      <c r="J21" s="10">
        <v>46054</v>
      </c>
      <c r="K21" s="18">
        <v>1912.21</v>
      </c>
      <c r="L21" s="23">
        <f t="shared" si="1"/>
        <v>3824.42</v>
      </c>
      <c r="M21" s="20">
        <f t="shared" si="0"/>
        <v>45893.04</v>
      </c>
      <c r="N21" s="27">
        <f t="shared" ca="1" si="2"/>
        <v>30.063013698630137</v>
      </c>
      <c r="O21" s="12"/>
      <c r="P21" s="21">
        <f t="shared" si="3"/>
        <v>1912.21</v>
      </c>
      <c r="Q21" s="12" t="s">
        <v>82</v>
      </c>
      <c r="R21" s="31"/>
      <c r="S21" s="33"/>
      <c r="T21" s="21"/>
      <c r="U21" s="21"/>
      <c r="V21" s="12"/>
      <c r="W21" s="26"/>
      <c r="X21" s="26"/>
    </row>
    <row r="22" spans="1:24" ht="12.75" customHeight="1" x14ac:dyDescent="0.25">
      <c r="A22" s="11" t="s">
        <v>83</v>
      </c>
      <c r="B22" s="11" t="s">
        <v>84</v>
      </c>
      <c r="C22" s="37" t="s">
        <v>85</v>
      </c>
      <c r="D22" s="11" t="s">
        <v>20</v>
      </c>
      <c r="E22" s="11"/>
      <c r="F22" s="11"/>
      <c r="G22" s="11" t="s">
        <v>43</v>
      </c>
      <c r="H22" s="15">
        <v>40784</v>
      </c>
      <c r="I22" s="15">
        <v>32042</v>
      </c>
      <c r="J22" s="10">
        <v>46054</v>
      </c>
      <c r="K22" s="18">
        <v>5705.68</v>
      </c>
      <c r="L22" s="19">
        <f t="shared" si="1"/>
        <v>11411.36</v>
      </c>
      <c r="M22" s="20">
        <f t="shared" si="0"/>
        <v>136936.32000000001</v>
      </c>
      <c r="N22" s="26">
        <f t="shared" ca="1" si="2"/>
        <v>38.786301369863011</v>
      </c>
      <c r="O22" s="12"/>
      <c r="P22" s="21">
        <f t="shared" si="3"/>
        <v>5705.68</v>
      </c>
      <c r="Q22" s="12" t="s">
        <v>44</v>
      </c>
      <c r="R22" s="32"/>
      <c r="S22" s="33"/>
      <c r="T22" s="21"/>
      <c r="U22" s="21"/>
      <c r="V22" s="12"/>
      <c r="W22" s="26"/>
      <c r="X22" s="26"/>
    </row>
    <row r="23" spans="1:24" ht="16.149999999999999" customHeight="1" x14ac:dyDescent="0.25">
      <c r="A23" s="11" t="s">
        <v>86</v>
      </c>
      <c r="B23" s="11" t="s">
        <v>87</v>
      </c>
      <c r="C23" s="37" t="s">
        <v>88</v>
      </c>
      <c r="D23" s="11" t="s">
        <v>20</v>
      </c>
      <c r="E23" s="11"/>
      <c r="F23" s="11"/>
      <c r="G23" s="11" t="s">
        <v>43</v>
      </c>
      <c r="H23" s="15">
        <v>40661</v>
      </c>
      <c r="I23" s="15">
        <v>32297</v>
      </c>
      <c r="J23" s="10">
        <v>46054</v>
      </c>
      <c r="K23" s="18">
        <v>6676.23</v>
      </c>
      <c r="L23" s="19">
        <f t="shared" si="1"/>
        <v>13352.46</v>
      </c>
      <c r="M23" s="20">
        <f t="shared" si="0"/>
        <v>160229.51999999999</v>
      </c>
      <c r="N23" s="26">
        <f t="shared" ca="1" si="2"/>
        <v>38.087671232876716</v>
      </c>
      <c r="O23" s="12"/>
      <c r="P23" s="21">
        <f t="shared" si="3"/>
        <v>6676.23</v>
      </c>
      <c r="Q23" s="12" t="s">
        <v>44</v>
      </c>
      <c r="R23" s="32"/>
      <c r="S23" s="33"/>
      <c r="T23" s="21"/>
      <c r="U23" s="21"/>
      <c r="V23" s="12"/>
      <c r="W23" s="26"/>
      <c r="X23" s="26"/>
    </row>
    <row r="24" spans="1:24" ht="12.75" customHeight="1" x14ac:dyDescent="0.2">
      <c r="A24" s="11" t="s">
        <v>89</v>
      </c>
      <c r="B24" s="11" t="s">
        <v>90</v>
      </c>
      <c r="C24" s="37" t="s">
        <v>91</v>
      </c>
      <c r="D24" s="11" t="s">
        <v>20</v>
      </c>
      <c r="E24" s="11" t="s">
        <v>37</v>
      </c>
      <c r="F24" s="11"/>
      <c r="G24" s="12" t="s">
        <v>22</v>
      </c>
      <c r="H24" s="15">
        <v>44272</v>
      </c>
      <c r="I24" s="15">
        <v>31701</v>
      </c>
      <c r="J24" s="10">
        <v>46054</v>
      </c>
      <c r="K24" s="18">
        <v>4134.38</v>
      </c>
      <c r="L24" s="23">
        <f t="shared" si="1"/>
        <v>8268.76</v>
      </c>
      <c r="M24" s="20">
        <f t="shared" si="0"/>
        <v>99225.12</v>
      </c>
      <c r="N24" s="26">
        <f t="shared" ca="1" si="2"/>
        <v>39.720547945205482</v>
      </c>
      <c r="O24" s="12"/>
      <c r="P24" s="21">
        <f t="shared" si="3"/>
        <v>4134.38</v>
      </c>
      <c r="Q24" s="12" t="s">
        <v>92</v>
      </c>
      <c r="R24" s="31"/>
      <c r="S24" s="33"/>
      <c r="T24" s="21"/>
      <c r="U24" s="21"/>
      <c r="V24" s="12"/>
      <c r="W24" s="26"/>
      <c r="X24" s="26"/>
    </row>
    <row r="25" spans="1:24" x14ac:dyDescent="0.2">
      <c r="A25" s="11" t="s">
        <v>93</v>
      </c>
      <c r="B25" s="11" t="s">
        <v>94</v>
      </c>
      <c r="C25" s="37" t="s">
        <v>95</v>
      </c>
      <c r="D25" s="11" t="s">
        <v>20</v>
      </c>
      <c r="E25" s="11" t="s">
        <v>21</v>
      </c>
      <c r="F25" s="11"/>
      <c r="G25" s="11" t="s">
        <v>43</v>
      </c>
      <c r="H25" s="15">
        <v>41666</v>
      </c>
      <c r="I25" s="15">
        <v>31020</v>
      </c>
      <c r="J25" s="10">
        <v>46054</v>
      </c>
      <c r="K25" s="18">
        <v>4330.7299999999996</v>
      </c>
      <c r="L25" s="19">
        <f t="shared" si="1"/>
        <v>8661.4599999999991</v>
      </c>
      <c r="M25" s="20">
        <f t="shared" si="0"/>
        <v>103937.51999999999</v>
      </c>
      <c r="N25" s="26">
        <f t="shared" ca="1" si="2"/>
        <v>41.586301369863016</v>
      </c>
      <c r="O25" s="12"/>
      <c r="P25" s="21">
        <f t="shared" si="3"/>
        <v>4330.7299999999996</v>
      </c>
      <c r="Q25" s="12" t="s">
        <v>44</v>
      </c>
      <c r="R25" s="31"/>
      <c r="S25" s="33"/>
      <c r="T25" s="21"/>
      <c r="U25" s="21"/>
      <c r="V25" s="12"/>
      <c r="W25" s="26"/>
      <c r="X25" s="26"/>
    </row>
    <row r="26" spans="1:24" ht="12.75" customHeight="1" x14ac:dyDescent="0.2">
      <c r="A26" s="11" t="s">
        <v>96</v>
      </c>
      <c r="B26" s="11" t="s">
        <v>97</v>
      </c>
      <c r="C26" s="37" t="s">
        <v>98</v>
      </c>
      <c r="D26" s="11" t="s">
        <v>20</v>
      </c>
      <c r="E26" s="11" t="s">
        <v>21</v>
      </c>
      <c r="F26" s="11"/>
      <c r="G26" s="12" t="s">
        <v>31</v>
      </c>
      <c r="H26" s="15">
        <v>42366</v>
      </c>
      <c r="I26" s="15">
        <v>26603</v>
      </c>
      <c r="J26" s="10">
        <v>45200</v>
      </c>
      <c r="K26" s="18">
        <v>3500</v>
      </c>
      <c r="L26" s="23">
        <f t="shared" si="1"/>
        <v>7000</v>
      </c>
      <c r="M26" s="20">
        <f t="shared" si="0"/>
        <v>84000</v>
      </c>
      <c r="N26" s="27">
        <f t="shared" ca="1" si="2"/>
        <v>53.68767123287671</v>
      </c>
      <c r="O26" s="12"/>
      <c r="P26" s="21">
        <f t="shared" si="3"/>
        <v>3500</v>
      </c>
      <c r="Q26" s="12"/>
      <c r="R26" s="31"/>
      <c r="S26" s="33"/>
      <c r="T26" s="21"/>
      <c r="U26" s="21"/>
      <c r="V26" s="12"/>
      <c r="W26" s="26"/>
      <c r="X26" s="26"/>
    </row>
    <row r="27" spans="1:24" ht="12.75" customHeight="1" x14ac:dyDescent="0.2">
      <c r="A27" s="11" t="s">
        <v>99</v>
      </c>
      <c r="B27" s="11" t="s">
        <v>100</v>
      </c>
      <c r="C27" s="37" t="s">
        <v>101</v>
      </c>
      <c r="D27" s="11" t="s">
        <v>20</v>
      </c>
      <c r="E27" s="11" t="s">
        <v>102</v>
      </c>
      <c r="F27" s="11"/>
      <c r="G27" s="12" t="s">
        <v>22</v>
      </c>
      <c r="H27" s="15">
        <v>43563</v>
      </c>
      <c r="I27" s="15">
        <v>34410</v>
      </c>
      <c r="J27" s="10">
        <v>46054</v>
      </c>
      <c r="K27" s="18">
        <v>2958.33</v>
      </c>
      <c r="L27" s="19">
        <f t="shared" si="1"/>
        <v>5916.66</v>
      </c>
      <c r="M27" s="20">
        <f t="shared" si="0"/>
        <v>70999.92</v>
      </c>
      <c r="N27" s="26">
        <f t="shared" ca="1" si="2"/>
        <v>32.298630136986304</v>
      </c>
      <c r="O27" s="12"/>
      <c r="P27" s="21">
        <f t="shared" si="3"/>
        <v>2958.33</v>
      </c>
      <c r="Q27" s="12" t="s">
        <v>27</v>
      </c>
      <c r="R27" s="31"/>
      <c r="S27" s="33"/>
      <c r="T27" s="21"/>
      <c r="U27" s="21"/>
      <c r="V27" s="12"/>
      <c r="W27" s="26"/>
      <c r="X27" s="26"/>
    </row>
    <row r="28" spans="1:24" ht="12.75" customHeight="1" x14ac:dyDescent="0.2">
      <c r="A28" s="11" t="s">
        <v>103</v>
      </c>
      <c r="B28" s="11" t="s">
        <v>104</v>
      </c>
      <c r="C28" s="37" t="s">
        <v>105</v>
      </c>
      <c r="D28" s="11" t="s">
        <v>20</v>
      </c>
      <c r="E28" s="11" t="s">
        <v>37</v>
      </c>
      <c r="F28" s="11"/>
      <c r="G28" s="12" t="s">
        <v>22</v>
      </c>
      <c r="H28" s="15">
        <v>44319</v>
      </c>
      <c r="I28" s="15">
        <v>31112</v>
      </c>
      <c r="J28" s="10">
        <v>45474</v>
      </c>
      <c r="K28" s="18">
        <v>4194.09</v>
      </c>
      <c r="L28" s="23">
        <f t="shared" si="1"/>
        <v>8388.18</v>
      </c>
      <c r="M28" s="20">
        <f t="shared" si="0"/>
        <v>100658.16</v>
      </c>
      <c r="N28" s="26">
        <f t="shared" ca="1" si="2"/>
        <v>41.334246575342469</v>
      </c>
      <c r="O28" s="12"/>
      <c r="P28" s="21">
        <f t="shared" si="3"/>
        <v>4194.09</v>
      </c>
      <c r="Q28" s="12" t="s">
        <v>106</v>
      </c>
      <c r="R28" s="31"/>
      <c r="S28" s="33"/>
      <c r="T28" s="21"/>
      <c r="U28" s="21"/>
      <c r="V28" s="12"/>
      <c r="W28" s="26"/>
      <c r="X28" s="26"/>
    </row>
    <row r="29" spans="1:24" ht="14.65" customHeight="1" x14ac:dyDescent="0.25">
      <c r="A29" s="11" t="s">
        <v>107</v>
      </c>
      <c r="B29" s="11" t="s">
        <v>108</v>
      </c>
      <c r="C29" s="37" t="s">
        <v>109</v>
      </c>
      <c r="D29" s="11" t="s">
        <v>20</v>
      </c>
      <c r="E29" s="11" t="s">
        <v>21</v>
      </c>
      <c r="F29" s="11"/>
      <c r="G29" s="12" t="s">
        <v>31</v>
      </c>
      <c r="H29" s="15">
        <v>34700</v>
      </c>
      <c r="I29" s="15">
        <v>22065</v>
      </c>
      <c r="J29" s="10">
        <v>46054</v>
      </c>
      <c r="K29" s="18">
        <f>7083.34+617.17</f>
        <v>7700.51</v>
      </c>
      <c r="L29" s="19">
        <f t="shared" si="1"/>
        <v>15401.02</v>
      </c>
      <c r="M29" s="20">
        <f t="shared" si="0"/>
        <v>184812.24</v>
      </c>
      <c r="N29" s="26">
        <f t="shared" ca="1" si="2"/>
        <v>66.120547945205473</v>
      </c>
      <c r="O29" s="12"/>
      <c r="P29" s="21">
        <f t="shared" si="3"/>
        <v>7700.51</v>
      </c>
      <c r="Q29" s="12"/>
      <c r="R29" s="32"/>
      <c r="S29" s="33"/>
      <c r="T29" s="21"/>
      <c r="U29" s="21"/>
      <c r="V29" s="12"/>
      <c r="W29" s="26"/>
      <c r="X29" s="26"/>
    </row>
    <row r="30" spans="1:24" ht="14.25" customHeight="1" x14ac:dyDescent="0.25">
      <c r="A30" s="11" t="s">
        <v>107</v>
      </c>
      <c r="B30" s="11" t="s">
        <v>110</v>
      </c>
      <c r="C30" s="37" t="s">
        <v>111</v>
      </c>
      <c r="D30" s="11" t="s">
        <v>20</v>
      </c>
      <c r="E30" s="11" t="s">
        <v>21</v>
      </c>
      <c r="F30" s="11"/>
      <c r="G30" s="12" t="s">
        <v>112</v>
      </c>
      <c r="H30" s="15">
        <v>38622</v>
      </c>
      <c r="I30" s="15">
        <v>24453</v>
      </c>
      <c r="J30" s="10">
        <v>46054</v>
      </c>
      <c r="K30" s="18">
        <v>5833.34</v>
      </c>
      <c r="L30" s="19">
        <f t="shared" si="1"/>
        <v>11666.68</v>
      </c>
      <c r="M30" s="20">
        <f t="shared" si="0"/>
        <v>140000.16</v>
      </c>
      <c r="N30" s="26">
        <f t="shared" ca="1" si="2"/>
        <v>59.578082191780823</v>
      </c>
      <c r="O30" s="6"/>
      <c r="P30" s="21">
        <f t="shared" si="3"/>
        <v>5833.34</v>
      </c>
      <c r="Q30" s="12"/>
      <c r="R30" s="32"/>
      <c r="S30" s="33"/>
      <c r="T30" s="21"/>
      <c r="U30" s="21"/>
      <c r="V30" s="12"/>
      <c r="W30" s="26"/>
      <c r="X30" s="26"/>
    </row>
    <row r="31" spans="1:24" x14ac:dyDescent="0.2">
      <c r="A31" s="11" t="s">
        <v>113</v>
      </c>
      <c r="B31" s="11" t="s">
        <v>100</v>
      </c>
      <c r="C31" s="37" t="s">
        <v>114</v>
      </c>
      <c r="D31" s="11" t="s">
        <v>20</v>
      </c>
      <c r="E31" s="11" t="s">
        <v>115</v>
      </c>
      <c r="F31" s="11"/>
      <c r="G31" s="12" t="s">
        <v>22</v>
      </c>
      <c r="H31" s="15">
        <v>44326</v>
      </c>
      <c r="I31" s="15">
        <v>33210</v>
      </c>
      <c r="J31" s="10">
        <v>46054</v>
      </c>
      <c r="K31" s="18">
        <v>3458.33</v>
      </c>
      <c r="L31" s="19">
        <f t="shared" si="1"/>
        <v>6916.66</v>
      </c>
      <c r="M31" s="20">
        <f t="shared" si="0"/>
        <v>82999.92</v>
      </c>
      <c r="N31" s="26">
        <f t="shared" ca="1" si="2"/>
        <v>35.586301369863016</v>
      </c>
      <c r="O31" s="12"/>
      <c r="P31" s="21">
        <f t="shared" si="3"/>
        <v>3458.33</v>
      </c>
      <c r="Q31" s="12" t="s">
        <v>27</v>
      </c>
      <c r="R31" s="31"/>
      <c r="S31" s="33"/>
      <c r="T31" s="21"/>
      <c r="U31" s="21"/>
      <c r="V31" s="12"/>
      <c r="W31" s="26"/>
      <c r="X31" s="26"/>
    </row>
    <row r="32" spans="1:24" x14ac:dyDescent="0.2">
      <c r="A32" s="11" t="s">
        <v>116</v>
      </c>
      <c r="B32" s="11" t="s">
        <v>117</v>
      </c>
      <c r="C32" s="37" t="s">
        <v>118</v>
      </c>
      <c r="D32" s="11" t="s">
        <v>20</v>
      </c>
      <c r="E32" s="11" t="s">
        <v>119</v>
      </c>
      <c r="F32" s="11"/>
      <c r="G32" s="12" t="s">
        <v>22</v>
      </c>
      <c r="H32" s="15">
        <v>46055</v>
      </c>
      <c r="I32" s="15">
        <v>32198</v>
      </c>
      <c r="J32" s="10"/>
      <c r="K32" s="18">
        <v>2166.67</v>
      </c>
      <c r="L32" s="19">
        <f t="shared" ref="L32" si="4">K32*2</f>
        <v>4333.34</v>
      </c>
      <c r="M32" s="20">
        <f t="shared" si="0"/>
        <v>52000.08</v>
      </c>
      <c r="N32" s="26">
        <f t="shared" ca="1" si="2"/>
        <v>38.358904109589041</v>
      </c>
      <c r="O32" s="12"/>
      <c r="P32" s="21"/>
      <c r="Q32" s="12"/>
      <c r="R32" s="31"/>
      <c r="S32" s="33"/>
      <c r="T32" s="21"/>
      <c r="U32" s="21"/>
      <c r="V32" s="12"/>
      <c r="W32" s="26"/>
      <c r="X32" s="26"/>
    </row>
    <row r="33" spans="1:24" ht="12.75" customHeight="1" x14ac:dyDescent="0.2">
      <c r="A33" s="11" t="s">
        <v>120</v>
      </c>
      <c r="B33" s="11" t="s">
        <v>121</v>
      </c>
      <c r="C33" s="37" t="s">
        <v>122</v>
      </c>
      <c r="D33" s="11" t="s">
        <v>20</v>
      </c>
      <c r="E33" s="11" t="s">
        <v>37</v>
      </c>
      <c r="F33" s="11"/>
      <c r="G33" s="12" t="s">
        <v>22</v>
      </c>
      <c r="H33" s="15">
        <v>44643</v>
      </c>
      <c r="I33" s="15">
        <v>35668</v>
      </c>
      <c r="J33" s="10">
        <v>46054</v>
      </c>
      <c r="K33" s="18">
        <v>2208.33</v>
      </c>
      <c r="L33" s="23">
        <f t="shared" si="1"/>
        <v>4416.66</v>
      </c>
      <c r="M33" s="20">
        <f t="shared" si="0"/>
        <v>52999.92</v>
      </c>
      <c r="N33" s="27">
        <f t="shared" ca="1" si="2"/>
        <v>28.852054794520548</v>
      </c>
      <c r="O33" s="12"/>
      <c r="P33" s="21">
        <f t="shared" si="3"/>
        <v>2208.33</v>
      </c>
      <c r="Q33" s="12" t="s">
        <v>38</v>
      </c>
      <c r="R33" s="31"/>
      <c r="S33" s="33"/>
      <c r="T33" s="21"/>
      <c r="U33" s="21"/>
      <c r="V33" s="12"/>
      <c r="W33" s="26"/>
      <c r="X33" s="26"/>
    </row>
    <row r="34" spans="1:24" x14ac:dyDescent="0.2">
      <c r="A34" s="16" t="s">
        <v>123</v>
      </c>
      <c r="B34" s="16" t="s">
        <v>124</v>
      </c>
      <c r="C34" s="37" t="s">
        <v>125</v>
      </c>
      <c r="D34" s="11" t="s">
        <v>20</v>
      </c>
      <c r="E34" s="11" t="s">
        <v>126</v>
      </c>
      <c r="F34" s="11"/>
      <c r="G34" s="12" t="s">
        <v>22</v>
      </c>
      <c r="H34" s="15">
        <v>43507</v>
      </c>
      <c r="I34" s="15">
        <v>32376</v>
      </c>
      <c r="J34" s="10">
        <v>46054</v>
      </c>
      <c r="K34" s="18">
        <v>2208.33</v>
      </c>
      <c r="L34" s="19">
        <f t="shared" si="1"/>
        <v>4416.66</v>
      </c>
      <c r="M34" s="20">
        <f t="shared" si="0"/>
        <v>52999.92</v>
      </c>
      <c r="N34" s="26">
        <f t="shared" ca="1" si="2"/>
        <v>37.871232876712327</v>
      </c>
      <c r="O34" s="12"/>
      <c r="P34" s="21">
        <f t="shared" si="3"/>
        <v>2208.33</v>
      </c>
      <c r="Q34" s="12" t="s">
        <v>38</v>
      </c>
      <c r="R34" s="31"/>
      <c r="S34" s="33"/>
      <c r="T34" s="21"/>
      <c r="U34" s="21"/>
      <c r="V34" s="12"/>
      <c r="W34" s="26"/>
      <c r="X34" s="12"/>
    </row>
    <row r="36" spans="1:24" x14ac:dyDescent="0.2">
      <c r="A36" s="11"/>
      <c r="B36" s="11"/>
      <c r="C36" s="11"/>
      <c r="D36" s="11"/>
      <c r="E36" s="11"/>
      <c r="F36" s="11"/>
      <c r="G36" s="11"/>
      <c r="H36" s="18"/>
      <c r="I36" s="22"/>
      <c r="J36" s="22"/>
      <c r="K36" s="22"/>
      <c r="L36" s="22"/>
      <c r="M36" s="12"/>
      <c r="N36" s="24"/>
      <c r="O36" s="12"/>
      <c r="P36" s="12"/>
      <c r="Q36" s="12"/>
      <c r="R36" s="31"/>
      <c r="S36" s="31"/>
      <c r="T36" s="12"/>
      <c r="U36" s="12"/>
      <c r="V36" s="12"/>
      <c r="W36" s="12"/>
      <c r="X36" s="12"/>
    </row>
    <row r="37" spans="1:24" x14ac:dyDescent="0.2">
      <c r="A37" s="11"/>
      <c r="B37" s="11"/>
      <c r="C37" s="11"/>
      <c r="D37" s="11"/>
      <c r="E37" s="11"/>
      <c r="F37" s="11"/>
      <c r="G37" s="11"/>
      <c r="H37" s="18"/>
      <c r="I37" s="22"/>
      <c r="J37" s="22"/>
      <c r="K37" s="22"/>
      <c r="L37" s="22"/>
      <c r="M37" s="21">
        <f>SUM(M6:M36)</f>
        <v>2552395.36</v>
      </c>
      <c r="N37" s="24"/>
      <c r="O37" s="12"/>
      <c r="P37" s="21">
        <f>SUM(P6:P36)</f>
        <v>104581.58</v>
      </c>
      <c r="Q37" s="12"/>
      <c r="R37" s="31"/>
      <c r="S37" s="31"/>
      <c r="T37" s="12"/>
      <c r="U37" s="12"/>
      <c r="V37" s="12"/>
      <c r="W37" s="30"/>
      <c r="X37" s="30"/>
    </row>
    <row r="38" spans="1:24" x14ac:dyDescent="0.2">
      <c r="A38" s="11"/>
      <c r="B38" s="11"/>
      <c r="C38" s="11"/>
      <c r="D38" s="11"/>
      <c r="E38" s="11"/>
      <c r="F38" s="11"/>
      <c r="G38" s="11"/>
      <c r="H38" s="18"/>
      <c r="I38" s="22"/>
      <c r="J38" s="22"/>
      <c r="K38" s="22"/>
      <c r="L38" s="22"/>
      <c r="M38" s="12"/>
      <c r="N38" s="24"/>
      <c r="O38" s="12"/>
      <c r="P38" s="12"/>
      <c r="Q38" s="12"/>
      <c r="R38" s="31"/>
      <c r="S38" s="31"/>
      <c r="T38" s="12"/>
      <c r="U38" s="12"/>
      <c r="V38" s="12"/>
      <c r="W38" s="12"/>
      <c r="X38" s="12"/>
    </row>
    <row r="40" spans="1:24" x14ac:dyDescent="0.2">
      <c r="A40" s="12"/>
      <c r="B40" s="12"/>
      <c r="C40" s="12"/>
      <c r="D40" s="12"/>
      <c r="E40" s="12"/>
      <c r="F40" s="12"/>
      <c r="G40" s="12"/>
      <c r="H40" s="12"/>
      <c r="I40" s="15"/>
      <c r="J40" s="15"/>
      <c r="K40" s="15"/>
      <c r="L40" s="15"/>
      <c r="M40" s="12"/>
      <c r="N40" s="24"/>
      <c r="O40" s="12"/>
    </row>
    <row r="41" spans="1:24" x14ac:dyDescent="0.2">
      <c r="A41" s="12"/>
      <c r="B41" s="12"/>
      <c r="C41" s="12"/>
      <c r="D41" s="12"/>
      <c r="E41" s="12"/>
      <c r="F41" s="12"/>
      <c r="G41" s="12"/>
      <c r="H41" s="12"/>
      <c r="I41" s="15"/>
      <c r="J41" s="15"/>
      <c r="K41" s="15"/>
      <c r="L41" s="15"/>
      <c r="M41" s="12"/>
      <c r="N41" s="24"/>
      <c r="O41" s="12"/>
    </row>
    <row r="42" spans="1:24" x14ac:dyDescent="0.2">
      <c r="A42" s="12"/>
      <c r="B42" s="12"/>
      <c r="C42" s="12"/>
      <c r="D42" s="12"/>
      <c r="E42" s="12"/>
      <c r="F42" s="12"/>
      <c r="G42" s="12"/>
      <c r="H42" s="12"/>
      <c r="I42" s="15"/>
      <c r="J42" s="15"/>
      <c r="K42" s="15"/>
      <c r="L42" s="15"/>
      <c r="M42" s="12"/>
      <c r="N42" s="24"/>
      <c r="O42" s="12"/>
    </row>
    <row r="43" spans="1:24" x14ac:dyDescent="0.2">
      <c r="A43" s="12"/>
      <c r="B43" s="12"/>
      <c r="C43" s="12"/>
      <c r="D43" s="12"/>
      <c r="E43" s="12"/>
      <c r="F43" s="12"/>
      <c r="G43" s="12"/>
      <c r="H43" s="12"/>
      <c r="I43" s="15"/>
      <c r="J43" s="15"/>
      <c r="K43" s="15"/>
      <c r="L43" s="15"/>
      <c r="M43" s="12"/>
      <c r="N43" s="24"/>
      <c r="O43" s="12"/>
    </row>
    <row r="44" spans="1:24" x14ac:dyDescent="0.2">
      <c r="A44" s="4"/>
      <c r="B44" s="4"/>
      <c r="C44" s="4"/>
      <c r="D44" s="4"/>
      <c r="E44" s="4"/>
      <c r="F44" s="4"/>
      <c r="G44" s="4"/>
      <c r="H44" s="4"/>
      <c r="I44" s="7"/>
      <c r="J44" s="7"/>
      <c r="K44" s="7"/>
      <c r="L44" s="7"/>
      <c r="M44" s="4"/>
      <c r="N44" s="5"/>
      <c r="O44" s="4"/>
    </row>
  </sheetData>
  <autoFilter ref="G1:G44" xr:uid="{00000000-0001-0000-0000-000000000000}"/>
  <sortState xmlns:xlrd2="http://schemas.microsoft.com/office/spreadsheetml/2017/richdata2" ref="A6:T34">
    <sortCondition ref="A6:A34"/>
  </sortState>
  <hyperlinks>
    <hyperlink ref="C6" r:id="rId1" xr:uid="{6C741221-06F4-46E5-954D-D2D02BBB8939}"/>
    <hyperlink ref="C7" r:id="rId2" xr:uid="{DBB3FDB0-1C0E-403B-95BF-980B8BA97B8B}"/>
    <hyperlink ref="C8" r:id="rId3" xr:uid="{59A7E383-AFB8-438B-BD54-4D1BADB83170}"/>
    <hyperlink ref="C9" r:id="rId4" xr:uid="{B6849AFE-2F7C-4DDB-A5F3-D2EABFC569A5}"/>
    <hyperlink ref="C10" r:id="rId5" xr:uid="{45F26992-56FA-440F-B6C3-AC827C0603BF}"/>
    <hyperlink ref="C11" r:id="rId6" xr:uid="{ED3F2F43-9FA8-40A2-978C-3BBE60D9012A}"/>
    <hyperlink ref="C12" r:id="rId7" xr:uid="{9C48CAAD-14B2-4932-920D-A0E4E3C66D7F}"/>
    <hyperlink ref="C13" r:id="rId8" xr:uid="{956A02BC-4DDE-4BC1-9C0E-9D5DAFEEE103}"/>
    <hyperlink ref="C14" r:id="rId9" xr:uid="{D1F35A4C-298C-4886-AF45-5A393615278A}"/>
    <hyperlink ref="C15" r:id="rId10" xr:uid="{8708B76A-CD9E-4C9C-A5C1-7BED7CAFDB25}"/>
    <hyperlink ref="C16" r:id="rId11" xr:uid="{9AFF1B13-874D-4950-B981-9EDDE8446121}"/>
    <hyperlink ref="C17" r:id="rId12" xr:uid="{F2F36267-9DBF-41C2-A187-925CCB2DF7C0}"/>
    <hyperlink ref="C18" r:id="rId13" xr:uid="{25DBB709-1BF8-44B7-B157-7294A986827E}"/>
    <hyperlink ref="C19" r:id="rId14" xr:uid="{F08352D8-DB4D-4D01-9C68-515583C77647}"/>
    <hyperlink ref="C20" r:id="rId15" xr:uid="{39C0225E-5CFB-4496-B10A-9B83D79DAF70}"/>
    <hyperlink ref="C21" r:id="rId16" xr:uid="{D546D801-EC95-4134-994F-AA06172AB4D1}"/>
    <hyperlink ref="C22" r:id="rId17" xr:uid="{FDCE1D77-23C9-4F31-8E01-01A76B427302}"/>
    <hyperlink ref="C23" r:id="rId18" xr:uid="{E5246952-01CF-42D0-92ED-41A2B879614D}"/>
    <hyperlink ref="C24" r:id="rId19" xr:uid="{368CB907-6F04-4DC5-8C7B-C1C8611651BE}"/>
    <hyperlink ref="C25" r:id="rId20" xr:uid="{1AA392EA-25A3-4E42-8251-373FB98A4DA7}"/>
    <hyperlink ref="C26" r:id="rId21" xr:uid="{D4BAD738-03BE-49DC-9E82-58256668E729}"/>
    <hyperlink ref="C27" r:id="rId22" xr:uid="{AF459CE8-D909-4667-84AC-6AD85A3E575B}"/>
    <hyperlink ref="C28" r:id="rId23" xr:uid="{AF46A7EC-BFD8-4E70-8D5E-E67534233606}"/>
    <hyperlink ref="C29" r:id="rId24" xr:uid="{474AF05A-E2CE-46D3-AECC-F10DCBFAFB6E}"/>
    <hyperlink ref="C30" r:id="rId25" xr:uid="{2B28336A-B928-41FC-8702-281150E43F3C}"/>
    <hyperlink ref="C31" r:id="rId26" xr:uid="{F1F6754F-18D9-42A2-99E6-97FD05330663}"/>
    <hyperlink ref="C32" r:id="rId27" xr:uid="{BEB485AD-92B4-4560-BFEE-3E0A0BB516BD}"/>
    <hyperlink ref="C33" r:id="rId28" xr:uid="{8EB0A924-2DEB-42CB-A6CF-F9D22B7E959D}"/>
    <hyperlink ref="C34" r:id="rId29" xr:uid="{374042A5-118C-4D75-97E0-4DB87DC48100}"/>
  </hyperlinks>
  <pageMargins left="0" right="0" top="0" bottom="0" header="0.5" footer="0.5"/>
  <pageSetup orientation="landscape" r:id="rId30"/>
  <headerFooter alignWithMargins="0"/>
  <legacyDrawing r:id="rId3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AD9E537E007C4ABF8F0DD2C0355191" ma:contentTypeVersion="18" ma:contentTypeDescription="Create a new document." ma:contentTypeScope="" ma:versionID="3f5dd10d05c5d5c01f2c0c70fe412a31">
  <xsd:schema xmlns:xsd="http://www.w3.org/2001/XMLSchema" xmlns:xs="http://www.w3.org/2001/XMLSchema" xmlns:p="http://schemas.microsoft.com/office/2006/metadata/properties" xmlns:ns2="f4638ec7-4561-42e8-9683-f4af977bedec" xmlns:ns3="cad4c3e2-9c62-4c2a-9ba5-9b6601c90d7e" targetNamespace="http://schemas.microsoft.com/office/2006/metadata/properties" ma:root="true" ma:fieldsID="516746125c6f97ff7484675acbd9d63b" ns2:_="" ns3:_="">
    <xsd:import namespace="f4638ec7-4561-42e8-9683-f4af977bedec"/>
    <xsd:import namespace="cad4c3e2-9c62-4c2a-9ba5-9b6601c90d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638ec7-4561-42e8-9683-f4af977bed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1cc92333-a866-4646-a1d9-633e83c26ca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d4c3e2-9c62-4c2a-9ba5-9b6601c90d7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431095d1-1eb3-4da9-8b2b-2389048cc9b7}" ma:internalName="TaxCatchAll" ma:showField="CatchAllData" ma:web="cad4c3e2-9c62-4c2a-9ba5-9b6601c90d7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4638ec7-4561-42e8-9683-f4af977bedec">
      <Terms xmlns="http://schemas.microsoft.com/office/infopath/2007/PartnerControls"/>
    </lcf76f155ced4ddcb4097134ff3c332f>
    <TaxCatchAll xmlns="cad4c3e2-9c62-4c2a-9ba5-9b6601c90d7e" xsi:nil="true"/>
  </documentManagement>
</p:properties>
</file>

<file path=customXml/itemProps1.xml><?xml version="1.0" encoding="utf-8"?>
<ds:datastoreItem xmlns:ds="http://schemas.openxmlformats.org/officeDocument/2006/customXml" ds:itemID="{54E1DC7D-7F88-4C02-B660-C0410768F5F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141F90-F03D-4DCD-8CA4-277A42AFE5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638ec7-4561-42e8-9683-f4af977bedec"/>
    <ds:schemaRef ds:uri="cad4c3e2-9c62-4c2a-9ba5-9b6601c90d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6C87D9-650C-4BCD-9C75-747CC6A9AA8A}">
  <ds:schemaRefs>
    <ds:schemaRef ds:uri="http://schemas.microsoft.com/office/2006/metadata/properties"/>
    <ds:schemaRef ds:uri="http://schemas.microsoft.com/office/infopath/2007/PartnerControls"/>
    <ds:schemaRef ds:uri="f4638ec7-4561-42e8-9683-f4af977bedec"/>
    <ds:schemaRef ds:uri="cad4c3e2-9c62-4c2a-9ba5-9b6601c90d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Current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Amy Gothard</dc:creator>
  <cp:keywords/>
  <dc:description/>
  <cp:lastModifiedBy>Rick Snide</cp:lastModifiedBy>
  <cp:revision/>
  <dcterms:created xsi:type="dcterms:W3CDTF">2016-12-27T15:28:02Z</dcterms:created>
  <dcterms:modified xsi:type="dcterms:W3CDTF">2026-06-26T20:11:49Z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0x0101009BAD9E537E007C4ABF8F0DD2C0355191</vt:lpwstr>
  </property>
  <property fmtid="{D5CDD505-2E9C-101B-9397-08002B2CF9AE}" pid="3" name="MediaServiceImageTags">
    <vt:lpwstr/>
  </property>
</Properties>
</file>